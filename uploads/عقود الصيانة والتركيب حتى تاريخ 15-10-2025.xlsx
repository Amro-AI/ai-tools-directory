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7"/>
  <workbookPr/>
  <mc:AlternateContent xmlns:mc="http://schemas.openxmlformats.org/markup-compatibility/2006">
    <mc:Choice Requires="x15">
      <x15ac:absPath xmlns:x15ac="http://schemas.microsoft.com/office/spreadsheetml/2010/11/ac" url="https://d.docs.live.net/1751BFFEF2B83995/Desktop/"/>
    </mc:Choice>
  </mc:AlternateContent>
  <xr:revisionPtr revIDLastSave="69" documentId="8_{F3CC10F8-8897-4645-B6E3-7328D04F791E}" xr6:coauthVersionLast="47" xr6:coauthVersionMax="47" xr10:uidLastSave="{888A4828-1496-0C4B-8EAD-3358341CB969}"/>
  <bookViews>
    <workbookView minimized="1" xWindow="30" yWindow="750" windowWidth="20460" windowHeight="10770" xr2:uid="{7E7680C1-245C-45AF-89A7-A7DD56C398E2}"/>
  </bookViews>
  <sheets>
    <sheet name="maintenance" sheetId="1" r:id="rId1"/>
    <sheet name="Sheet1" sheetId="3" r:id="rId2"/>
    <sheet name="installation" sheetId="2" r:id="rId3"/>
  </sheets>
  <definedNames>
    <definedName name="_xlnm._FilterDatabase" localSheetId="2" hidden="1">installation!$A$1:$AC$21</definedName>
    <definedName name="_xlnm._FilterDatabase" localSheetId="0" hidden="1">maintenance!$B$1:$P$629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29" i="1" l="1" a="1"/>
  <c r="A629" i="1"/>
  <c r="A628" i="1" a="1"/>
  <c r="A628" i="1"/>
  <c r="A627" i="1" a="1"/>
  <c r="A627" i="1"/>
  <c r="A626" i="1" a="1"/>
  <c r="A626" i="1"/>
  <c r="A625" i="1" a="1"/>
  <c r="A625" i="1"/>
  <c r="A624" i="1" a="1"/>
  <c r="A624" i="1"/>
  <c r="A623" i="1" a="1"/>
  <c r="A623" i="1"/>
  <c r="A622" i="1" a="1"/>
  <c r="A622" i="1"/>
  <c r="A621" i="1" a="1"/>
  <c r="A621" i="1"/>
  <c r="A620" i="1" a="1"/>
  <c r="A620" i="1"/>
  <c r="A619" i="1" a="1"/>
  <c r="A619" i="1"/>
  <c r="A618" i="1" a="1"/>
  <c r="A618" i="1"/>
  <c r="A617" i="1" a="1"/>
  <c r="A617" i="1"/>
  <c r="A616" i="1" a="1"/>
  <c r="A616" i="1"/>
  <c r="A615" i="1" a="1"/>
  <c r="A615" i="1"/>
  <c r="A614" i="1" a="1"/>
  <c r="A614" i="1"/>
  <c r="A613" i="1" a="1"/>
  <c r="A613" i="1"/>
  <c r="A612" i="1" a="1"/>
  <c r="A612" i="1"/>
  <c r="A611" i="1" a="1"/>
  <c r="A611" i="1"/>
  <c r="A610" i="1" a="1"/>
  <c r="A610" i="1"/>
  <c r="A609" i="1" a="1"/>
  <c r="A609" i="1"/>
  <c r="A608" i="1" a="1"/>
  <c r="A608" i="1"/>
  <c r="A607" i="1" a="1"/>
  <c r="A607" i="1"/>
  <c r="A606" i="1" a="1"/>
  <c r="A606" i="1"/>
  <c r="A605" i="1" a="1"/>
  <c r="A605" i="1"/>
  <c r="A604" i="1" a="1"/>
  <c r="A604" i="1"/>
  <c r="A603" i="1" a="1"/>
  <c r="A603" i="1"/>
  <c r="A602" i="1" a="1"/>
  <c r="A602" i="1"/>
  <c r="A601" i="1" a="1"/>
  <c r="A601" i="1"/>
  <c r="A600" i="1" a="1"/>
  <c r="A600" i="1"/>
  <c r="A599" i="1" a="1"/>
  <c r="A599" i="1"/>
  <c r="A598" i="1" a="1"/>
  <c r="A598" i="1"/>
  <c r="A597" i="1" a="1"/>
  <c r="A597" i="1"/>
  <c r="A596" i="1" a="1"/>
  <c r="A596" i="1"/>
  <c r="A595" i="1" a="1"/>
  <c r="A595" i="1"/>
  <c r="A594" i="1" a="1"/>
  <c r="A594" i="1"/>
  <c r="A593" i="1" a="1"/>
  <c r="A593" i="1"/>
  <c r="A592" i="1" a="1"/>
  <c r="A592" i="1"/>
  <c r="A591" i="1" a="1"/>
  <c r="A591" i="1"/>
  <c r="A590" i="1" a="1"/>
  <c r="A590" i="1"/>
  <c r="A589" i="1" a="1"/>
  <c r="A589" i="1"/>
  <c r="A588" i="1" a="1"/>
  <c r="A588" i="1"/>
  <c r="A587" i="1" a="1"/>
  <c r="A587" i="1"/>
  <c r="A586" i="1" a="1"/>
  <c r="A586" i="1"/>
  <c r="A585" i="1" a="1"/>
  <c r="A585" i="1"/>
  <c r="A584" i="1" a="1"/>
  <c r="A584" i="1"/>
  <c r="A583" i="1" a="1"/>
  <c r="A583" i="1"/>
  <c r="A582" i="1" a="1"/>
  <c r="A582" i="1"/>
  <c r="A581" i="1" a="1"/>
  <c r="A581" i="1"/>
  <c r="A580" i="1" a="1"/>
  <c r="A580" i="1"/>
  <c r="A579" i="1" a="1"/>
  <c r="A579" i="1"/>
  <c r="A578" i="1" a="1"/>
  <c r="A578" i="1"/>
  <c r="A577" i="1" a="1"/>
  <c r="A577" i="1"/>
  <c r="A576" i="1" a="1"/>
  <c r="A576" i="1"/>
  <c r="A575" i="1" a="1"/>
  <c r="A575" i="1"/>
  <c r="A574" i="1" a="1"/>
  <c r="A574" i="1"/>
  <c r="A573" i="1" a="1"/>
  <c r="A573" i="1"/>
  <c r="A572" i="1" a="1"/>
  <c r="A572" i="1"/>
  <c r="A571" i="1" a="1"/>
  <c r="A571" i="1"/>
  <c r="A570" i="1" a="1"/>
  <c r="A570" i="1"/>
  <c r="A569" i="1" a="1"/>
  <c r="A569" i="1"/>
  <c r="A568" i="1" a="1"/>
  <c r="A568" i="1"/>
  <c r="A567" i="1" a="1"/>
  <c r="A567" i="1"/>
  <c r="A566" i="1" a="1"/>
  <c r="A566" i="1"/>
  <c r="A565" i="1" a="1"/>
  <c r="A565" i="1"/>
  <c r="A564" i="1" a="1"/>
  <c r="A564" i="1"/>
  <c r="A563" i="1" a="1"/>
  <c r="A563" i="1"/>
  <c r="A562" i="1" a="1"/>
  <c r="A562" i="1"/>
  <c r="A561" i="1" a="1"/>
  <c r="A561" i="1"/>
  <c r="A560" i="1" a="1"/>
  <c r="A560" i="1"/>
  <c r="A559" i="1" a="1"/>
  <c r="A559" i="1"/>
  <c r="A558" i="1" a="1"/>
  <c r="A558" i="1"/>
  <c r="A557" i="1" a="1"/>
  <c r="A557" i="1"/>
  <c r="A556" i="1" a="1"/>
  <c r="A556" i="1"/>
  <c r="A555" i="1" a="1"/>
  <c r="A555" i="1"/>
  <c r="A554" i="1" a="1"/>
  <c r="A554" i="1"/>
  <c r="A553" i="1" a="1"/>
  <c r="A553" i="1"/>
  <c r="A552" i="1" a="1"/>
  <c r="A552" i="1"/>
  <c r="A551" i="1" a="1"/>
  <c r="A551" i="1"/>
  <c r="A550" i="1" a="1"/>
  <c r="A550" i="1"/>
  <c r="A549" i="1" a="1"/>
  <c r="A549" i="1"/>
  <c r="A548" i="1" a="1"/>
  <c r="A548" i="1"/>
  <c r="A547" i="1" a="1"/>
  <c r="A547" i="1"/>
  <c r="A546" i="1" a="1"/>
  <c r="A546" i="1"/>
  <c r="A545" i="1" a="1"/>
  <c r="A545" i="1"/>
  <c r="A544" i="1" a="1"/>
  <c r="A544" i="1"/>
  <c r="A543" i="1" a="1"/>
  <c r="A543" i="1"/>
  <c r="A542" i="1" a="1"/>
  <c r="A542" i="1"/>
  <c r="A541" i="1" a="1"/>
  <c r="A541" i="1"/>
  <c r="A540" i="1" a="1"/>
  <c r="A540" i="1"/>
  <c r="A539" i="1" a="1"/>
  <c r="A539" i="1"/>
  <c r="A538" i="1" a="1"/>
  <c r="A538" i="1"/>
  <c r="A537" i="1" a="1"/>
  <c r="A537" i="1"/>
  <c r="A536" i="1" a="1"/>
  <c r="A536" i="1"/>
  <c r="A535" i="1" a="1"/>
  <c r="A535" i="1"/>
  <c r="A534" i="1" a="1"/>
  <c r="A534" i="1"/>
  <c r="A533" i="1" a="1"/>
  <c r="A533" i="1"/>
  <c r="A532" i="1" a="1"/>
  <c r="A532" i="1"/>
  <c r="A531" i="1" a="1"/>
  <c r="A531" i="1"/>
  <c r="A530" i="1" a="1"/>
  <c r="A530" i="1"/>
  <c r="A529" i="1" a="1"/>
  <c r="A529" i="1"/>
  <c r="A528" i="1" a="1"/>
  <c r="A528" i="1"/>
  <c r="A527" i="1" a="1"/>
  <c r="A527" i="1"/>
  <c r="A526" i="1" a="1"/>
  <c r="A526" i="1"/>
  <c r="A525" i="1" a="1"/>
  <c r="A525" i="1"/>
  <c r="A524" i="1" a="1"/>
  <c r="A524" i="1"/>
  <c r="A523" i="1" a="1"/>
  <c r="A523" i="1"/>
  <c r="A522" i="1" a="1"/>
  <c r="A522" i="1"/>
  <c r="A521" i="1" a="1"/>
  <c r="A521" i="1"/>
  <c r="A520" i="1" a="1"/>
  <c r="A520" i="1"/>
  <c r="A519" i="1" a="1"/>
  <c r="A519" i="1"/>
  <c r="A518" i="1" a="1"/>
  <c r="A518" i="1"/>
  <c r="A517" i="1" a="1"/>
  <c r="A517" i="1"/>
  <c r="A516" i="1" a="1"/>
  <c r="A516" i="1"/>
  <c r="A515" i="1" a="1"/>
  <c r="A515" i="1"/>
  <c r="A514" i="1" a="1"/>
  <c r="A514" i="1"/>
  <c r="A513" i="1" a="1"/>
  <c r="A513" i="1"/>
  <c r="A512" i="1" a="1"/>
  <c r="A512" i="1"/>
  <c r="A511" i="1" a="1"/>
  <c r="A511" i="1"/>
  <c r="A510" i="1" a="1"/>
  <c r="A510" i="1"/>
  <c r="A509" i="1" a="1"/>
  <c r="A509" i="1"/>
  <c r="A508" i="1" a="1"/>
  <c r="A508" i="1"/>
  <c r="A507" i="1" a="1"/>
  <c r="A507" i="1"/>
  <c r="A506" i="1" a="1"/>
  <c r="A506" i="1"/>
  <c r="A505" i="1" a="1"/>
  <c r="A505" i="1"/>
  <c r="A504" i="1" a="1"/>
  <c r="A504" i="1"/>
  <c r="A503" i="1" a="1"/>
  <c r="A503" i="1"/>
  <c r="A502" i="1" a="1"/>
  <c r="A502" i="1"/>
  <c r="A501" i="1" a="1"/>
  <c r="A501" i="1"/>
  <c r="A500" i="1" a="1"/>
  <c r="A500" i="1"/>
  <c r="A499" i="1" a="1"/>
  <c r="A499" i="1"/>
  <c r="A498" i="1" a="1"/>
  <c r="A498" i="1"/>
  <c r="A497" i="1" a="1"/>
  <c r="A497" i="1"/>
  <c r="A496" i="1" a="1"/>
  <c r="A496" i="1"/>
  <c r="A495" i="1" a="1"/>
  <c r="A495" i="1"/>
  <c r="A494" i="1" a="1"/>
  <c r="A494" i="1"/>
  <c r="A493" i="1" a="1"/>
  <c r="A493" i="1"/>
  <c r="A492" i="1" a="1"/>
  <c r="A492" i="1"/>
  <c r="A491" i="1" a="1"/>
  <c r="A491" i="1"/>
  <c r="A490" i="1" a="1"/>
  <c r="A490" i="1"/>
  <c r="A489" i="1" a="1"/>
  <c r="A489" i="1"/>
  <c r="A488" i="1" a="1"/>
  <c r="A488" i="1"/>
  <c r="A487" i="1" a="1"/>
  <c r="A487" i="1"/>
  <c r="A486" i="1" a="1"/>
  <c r="A486" i="1"/>
  <c r="A485" i="1" a="1"/>
  <c r="A485" i="1"/>
  <c r="A484" i="1" a="1"/>
  <c r="A484" i="1"/>
  <c r="A483" i="1" a="1"/>
  <c r="A483" i="1"/>
  <c r="A482" i="1" a="1"/>
  <c r="A482" i="1"/>
  <c r="A481" i="1" a="1"/>
  <c r="A481" i="1"/>
  <c r="A480" i="1" a="1"/>
  <c r="A480" i="1"/>
  <c r="A479" i="1" a="1"/>
  <c r="A479" i="1"/>
  <c r="A478" i="1" a="1"/>
  <c r="A478" i="1"/>
  <c r="A477" i="1" a="1"/>
  <c r="A477" i="1"/>
  <c r="A476" i="1" a="1"/>
  <c r="A476" i="1"/>
  <c r="A475" i="1" a="1"/>
  <c r="A475" i="1"/>
  <c r="A474" i="1" a="1"/>
  <c r="A474" i="1"/>
  <c r="A473" i="1" a="1"/>
  <c r="A473" i="1"/>
  <c r="A472" i="1" a="1"/>
  <c r="A472" i="1"/>
  <c r="A471" i="1" a="1"/>
  <c r="A471" i="1"/>
  <c r="A470" i="1" a="1"/>
  <c r="A470" i="1"/>
  <c r="A469" i="1" a="1"/>
  <c r="A469" i="1"/>
  <c r="A468" i="1" a="1"/>
  <c r="A468" i="1"/>
  <c r="A467" i="1" a="1"/>
  <c r="A467" i="1"/>
  <c r="A466" i="1" a="1"/>
  <c r="A466" i="1"/>
  <c r="A465" i="1" a="1"/>
  <c r="A465" i="1"/>
  <c r="A464" i="1" a="1"/>
  <c r="A464" i="1"/>
  <c r="A463" i="1" a="1"/>
  <c r="A463" i="1"/>
  <c r="A462" i="1" a="1"/>
  <c r="A462" i="1"/>
  <c r="A461" i="1" a="1"/>
  <c r="A461" i="1"/>
  <c r="A460" i="1" a="1"/>
  <c r="A460" i="1"/>
  <c r="A459" i="1" a="1"/>
  <c r="A459" i="1"/>
  <c r="A458" i="1" a="1"/>
  <c r="A458" i="1"/>
  <c r="A457" i="1" a="1"/>
  <c r="A457" i="1"/>
  <c r="A456" i="1" a="1"/>
  <c r="A456" i="1"/>
  <c r="A455" i="1" a="1"/>
  <c r="A455" i="1"/>
  <c r="A454" i="1" a="1"/>
  <c r="A454" i="1"/>
  <c r="A453" i="1" a="1"/>
  <c r="A453" i="1"/>
  <c r="A452" i="1" a="1"/>
  <c r="A452" i="1"/>
  <c r="A451" i="1" a="1"/>
  <c r="A451" i="1"/>
  <c r="A450" i="1" a="1"/>
  <c r="A450" i="1"/>
  <c r="A449" i="1" a="1"/>
  <c r="A449" i="1"/>
  <c r="A448" i="1" a="1"/>
  <c r="A448" i="1"/>
  <c r="A447" i="1" a="1"/>
  <c r="A447" i="1"/>
  <c r="A446" i="1" a="1"/>
  <c r="A446" i="1"/>
  <c r="A445" i="1" a="1"/>
  <c r="A445" i="1"/>
  <c r="A444" i="1" a="1"/>
  <c r="A444" i="1"/>
  <c r="A443" i="1" a="1"/>
  <c r="A443" i="1"/>
  <c r="A442" i="1" a="1"/>
  <c r="A442" i="1"/>
  <c r="A441" i="1" a="1"/>
  <c r="A441" i="1"/>
  <c r="A440" i="1" a="1"/>
  <c r="A440" i="1"/>
  <c r="A439" i="1" a="1"/>
  <c r="A439" i="1"/>
  <c r="A438" i="1" a="1"/>
  <c r="A438" i="1"/>
  <c r="A437" i="1" a="1"/>
  <c r="A437" i="1"/>
  <c r="A436" i="1" a="1"/>
  <c r="A436" i="1"/>
  <c r="A435" i="1" a="1"/>
  <c r="A435" i="1"/>
  <c r="A434" i="1" a="1"/>
  <c r="A434" i="1"/>
  <c r="A433" i="1" a="1"/>
  <c r="A433" i="1"/>
  <c r="A432" i="1" a="1"/>
  <c r="A432" i="1"/>
  <c r="A431" i="1" a="1"/>
  <c r="A431" i="1"/>
  <c r="A430" i="1" a="1"/>
  <c r="A430" i="1"/>
  <c r="A429" i="1" a="1"/>
  <c r="A429" i="1"/>
  <c r="A428" i="1" a="1"/>
  <c r="A428" i="1"/>
  <c r="A427" i="1" a="1"/>
  <c r="A427" i="1"/>
  <c r="A426" i="1" a="1"/>
  <c r="A426" i="1"/>
  <c r="A425" i="1" a="1"/>
  <c r="A425" i="1"/>
  <c r="A424" i="1" a="1"/>
  <c r="A424" i="1"/>
  <c r="A423" i="1" a="1"/>
  <c r="A423" i="1"/>
  <c r="A422" i="1" a="1"/>
  <c r="A422" i="1"/>
  <c r="A421" i="1" a="1"/>
  <c r="A421" i="1"/>
  <c r="A420" i="1" a="1"/>
  <c r="A420" i="1"/>
  <c r="A419" i="1" a="1"/>
  <c r="A419" i="1"/>
  <c r="A418" i="1" a="1"/>
  <c r="A418" i="1"/>
  <c r="A417" i="1" a="1"/>
  <c r="A417" i="1"/>
  <c r="A416" i="1" a="1"/>
  <c r="A416" i="1"/>
  <c r="A415" i="1" a="1"/>
  <c r="A415" i="1"/>
  <c r="A414" i="1" a="1"/>
  <c r="A414" i="1"/>
  <c r="A413" i="1" a="1"/>
  <c r="A413" i="1"/>
  <c r="A412" i="1" a="1"/>
  <c r="A412" i="1"/>
  <c r="A411" i="1" a="1"/>
  <c r="A411" i="1"/>
  <c r="A410" i="1" a="1"/>
  <c r="A410" i="1"/>
  <c r="A409" i="1" a="1"/>
  <c r="A409" i="1"/>
  <c r="A408" i="1" a="1"/>
  <c r="A408" i="1"/>
  <c r="A407" i="1" a="1"/>
  <c r="A407" i="1"/>
  <c r="A406" i="1" a="1"/>
  <c r="A406" i="1"/>
  <c r="A405" i="1" a="1"/>
  <c r="A405" i="1"/>
  <c r="A404" i="1" a="1"/>
  <c r="A404" i="1"/>
  <c r="A403" i="1" a="1"/>
  <c r="A403" i="1"/>
  <c r="A402" i="1" a="1"/>
  <c r="A402" i="1"/>
  <c r="A401" i="1" a="1"/>
  <c r="A401" i="1"/>
  <c r="A400" i="1" a="1"/>
  <c r="A400" i="1"/>
  <c r="A399" i="1" a="1"/>
  <c r="A399" i="1"/>
  <c r="A398" i="1" a="1"/>
  <c r="A398" i="1"/>
  <c r="A397" i="1" a="1"/>
  <c r="A397" i="1"/>
  <c r="A396" i="1" a="1"/>
  <c r="A396" i="1"/>
  <c r="A395" i="1" a="1"/>
  <c r="A395" i="1"/>
  <c r="A394" i="1" a="1"/>
  <c r="A394" i="1"/>
  <c r="A393" i="1" a="1"/>
  <c r="A393" i="1"/>
  <c r="A392" i="1" a="1"/>
  <c r="A392" i="1"/>
  <c r="A391" i="1" a="1"/>
  <c r="A391" i="1"/>
  <c r="A390" i="1" a="1"/>
  <c r="A390" i="1"/>
  <c r="A389" i="1" a="1"/>
  <c r="A389" i="1"/>
  <c r="A388" i="1" a="1"/>
  <c r="A388" i="1"/>
  <c r="A387" i="1" a="1"/>
  <c r="A387" i="1"/>
  <c r="A386" i="1" a="1"/>
  <c r="A386" i="1"/>
  <c r="A385" i="1" a="1"/>
  <c r="A385" i="1"/>
  <c r="A384" i="1" a="1"/>
  <c r="A384" i="1"/>
  <c r="A383" i="1" a="1"/>
  <c r="A383" i="1"/>
  <c r="A382" i="1" a="1"/>
  <c r="A382" i="1"/>
  <c r="A381" i="1" a="1"/>
  <c r="A381" i="1"/>
  <c r="A380" i="1" a="1"/>
  <c r="A380" i="1"/>
  <c r="A379" i="1" a="1"/>
  <c r="A379" i="1"/>
  <c r="A378" i="1" a="1"/>
  <c r="A378" i="1"/>
  <c r="A377" i="1" a="1"/>
  <c r="A377" i="1"/>
  <c r="A376" i="1" a="1"/>
  <c r="A376" i="1"/>
  <c r="A375" i="1" a="1"/>
  <c r="A375" i="1"/>
  <c r="A374" i="1" a="1"/>
  <c r="A374" i="1"/>
  <c r="A373" i="1" a="1"/>
  <c r="A373" i="1"/>
  <c r="A372" i="1" a="1"/>
  <c r="A372" i="1"/>
  <c r="A371" i="1" a="1"/>
  <c r="A371" i="1"/>
  <c r="A370" i="1" a="1"/>
  <c r="A370" i="1"/>
  <c r="A369" i="1" a="1"/>
  <c r="A369" i="1"/>
  <c r="A368" i="1" a="1"/>
  <c r="A368" i="1"/>
  <c r="A367" i="1" a="1"/>
  <c r="A367" i="1"/>
  <c r="A366" i="1" a="1"/>
  <c r="A366" i="1"/>
  <c r="A365" i="1" a="1"/>
  <c r="A365" i="1"/>
  <c r="A364" i="1" a="1"/>
  <c r="A364" i="1"/>
  <c r="A363" i="1" a="1"/>
  <c r="A363" i="1"/>
  <c r="A362" i="1" a="1"/>
  <c r="A362" i="1"/>
  <c r="A361" i="1" a="1"/>
  <c r="A361" i="1"/>
  <c r="A360" i="1" a="1"/>
  <c r="A360" i="1"/>
  <c r="A359" i="1" a="1"/>
  <c r="A359" i="1"/>
  <c r="A358" i="1" a="1"/>
  <c r="A358" i="1"/>
  <c r="A357" i="1" a="1"/>
  <c r="A357" i="1"/>
  <c r="A356" i="1" a="1"/>
  <c r="A356" i="1"/>
  <c r="A355" i="1" a="1"/>
  <c r="A355" i="1"/>
  <c r="A354" i="1" a="1"/>
  <c r="A354" i="1"/>
  <c r="A353" i="1" a="1"/>
  <c r="A353" i="1"/>
  <c r="A352" i="1" a="1"/>
  <c r="A352" i="1"/>
  <c r="A351" i="1" a="1"/>
  <c r="A351" i="1"/>
  <c r="A350" i="1" a="1"/>
  <c r="A350" i="1"/>
  <c r="A349" i="1" a="1"/>
  <c r="A349" i="1"/>
  <c r="A348" i="1" a="1"/>
  <c r="A348" i="1"/>
  <c r="A347" i="1" a="1"/>
  <c r="A347" i="1"/>
  <c r="A346" i="1" a="1"/>
  <c r="A346" i="1"/>
  <c r="A345" i="1" a="1"/>
  <c r="A345" i="1"/>
  <c r="A344" i="1" a="1"/>
  <c r="A344" i="1"/>
  <c r="A343" i="1" a="1"/>
  <c r="A343" i="1"/>
  <c r="A342" i="1" a="1"/>
  <c r="A342" i="1"/>
  <c r="A341" i="1" a="1"/>
  <c r="A341" i="1"/>
  <c r="A340" i="1" a="1"/>
  <c r="A340" i="1"/>
  <c r="A339" i="1" a="1"/>
  <c r="A339" i="1"/>
  <c r="A338" i="1" a="1"/>
  <c r="A338" i="1"/>
  <c r="A337" i="1" a="1"/>
  <c r="A337" i="1"/>
  <c r="A336" i="1" a="1"/>
  <c r="A336" i="1"/>
  <c r="A335" i="1" a="1"/>
  <c r="A335" i="1"/>
  <c r="A334" i="1" a="1"/>
  <c r="A334" i="1"/>
  <c r="A333" i="1" a="1"/>
  <c r="A333" i="1"/>
  <c r="A332" i="1" a="1"/>
  <c r="A332" i="1"/>
  <c r="A331" i="1" a="1"/>
  <c r="A331" i="1"/>
  <c r="A330" i="1" a="1"/>
  <c r="A330" i="1"/>
  <c r="A329" i="1" a="1"/>
  <c r="A329" i="1"/>
  <c r="A328" i="1" a="1"/>
  <c r="A328" i="1"/>
  <c r="A327" i="1" a="1"/>
  <c r="A327" i="1"/>
  <c r="A326" i="1" a="1"/>
  <c r="A326" i="1"/>
  <c r="A325" i="1" a="1"/>
  <c r="A325" i="1"/>
  <c r="A324" i="1" a="1"/>
  <c r="A324" i="1"/>
  <c r="A323" i="1" a="1"/>
  <c r="A323" i="1"/>
  <c r="A322" i="1" a="1"/>
  <c r="A322" i="1"/>
  <c r="A321" i="1" a="1"/>
  <c r="A321" i="1"/>
  <c r="A320" i="1" a="1"/>
  <c r="A320" i="1"/>
  <c r="A319" i="1" a="1"/>
  <c r="A319" i="1"/>
  <c r="A318" i="1" a="1"/>
  <c r="A318" i="1"/>
  <c r="A317" i="1" a="1"/>
  <c r="A317" i="1"/>
  <c r="A316" i="1" a="1"/>
  <c r="A316" i="1"/>
  <c r="A315" i="1" a="1"/>
  <c r="A315" i="1"/>
  <c r="A314" i="1" a="1"/>
  <c r="A314" i="1"/>
  <c r="A313" i="1" a="1"/>
  <c r="A313" i="1"/>
  <c r="A312" i="1" a="1"/>
  <c r="A312" i="1"/>
  <c r="A311" i="1" a="1"/>
  <c r="A311" i="1"/>
  <c r="A310" i="1" a="1"/>
  <c r="A310" i="1"/>
  <c r="A309" i="1" a="1"/>
  <c r="A309" i="1"/>
  <c r="A308" i="1" a="1"/>
  <c r="A308" i="1"/>
  <c r="A307" i="1" a="1"/>
  <c r="A307" i="1"/>
  <c r="A306" i="1" a="1"/>
  <c r="A306" i="1"/>
  <c r="A305" i="1" a="1"/>
  <c r="A305" i="1"/>
  <c r="A304" i="1" a="1"/>
  <c r="A304" i="1"/>
  <c r="A303" i="1" a="1"/>
  <c r="A303" i="1"/>
  <c r="A302" i="1" a="1"/>
  <c r="A302" i="1"/>
  <c r="A301" i="1" a="1"/>
  <c r="A301" i="1"/>
  <c r="A300" i="1" a="1"/>
  <c r="A300" i="1"/>
  <c r="A299" i="1" a="1"/>
  <c r="A299" i="1"/>
  <c r="A298" i="1" a="1"/>
  <c r="A298" i="1"/>
  <c r="A297" i="1" a="1"/>
  <c r="A297" i="1"/>
  <c r="A296" i="1" a="1"/>
  <c r="A296" i="1"/>
  <c r="A295" i="1" a="1"/>
  <c r="A295" i="1"/>
  <c r="A294" i="1" a="1"/>
  <c r="A294" i="1"/>
  <c r="A293" i="1" a="1"/>
  <c r="A293" i="1"/>
  <c r="A292" i="1" a="1"/>
  <c r="A292" i="1"/>
  <c r="A291" i="1" a="1"/>
  <c r="A291" i="1"/>
  <c r="A290" i="1" a="1"/>
  <c r="A290" i="1"/>
  <c r="A289" i="1" a="1"/>
  <c r="A289" i="1"/>
  <c r="A288" i="1" a="1"/>
  <c r="A288" i="1"/>
  <c r="A287" i="1" a="1"/>
  <c r="A287" i="1"/>
  <c r="A286" i="1" a="1"/>
  <c r="A286" i="1"/>
  <c r="A285" i="1" a="1"/>
  <c r="A285" i="1"/>
  <c r="A284" i="1" a="1"/>
  <c r="A284" i="1"/>
  <c r="A283" i="1" a="1"/>
  <c r="A283" i="1"/>
  <c r="A282" i="1" a="1"/>
  <c r="A282" i="1"/>
  <c r="A281" i="1" a="1"/>
  <c r="A281" i="1"/>
  <c r="A280" i="1" a="1"/>
  <c r="A280" i="1"/>
  <c r="A279" i="1" a="1"/>
  <c r="A279" i="1"/>
  <c r="A278" i="1" a="1"/>
  <c r="A278" i="1"/>
  <c r="A277" i="1" a="1"/>
  <c r="A277" i="1"/>
  <c r="A276" i="1" a="1"/>
  <c r="A276" i="1"/>
  <c r="A275" i="1" a="1"/>
  <c r="A275" i="1"/>
  <c r="A274" i="1" a="1"/>
  <c r="A274" i="1"/>
  <c r="A273" i="1" a="1"/>
  <c r="A273" i="1"/>
  <c r="A272" i="1" a="1"/>
  <c r="A272" i="1"/>
  <c r="A271" i="1" a="1"/>
  <c r="A271" i="1"/>
  <c r="A270" i="1" a="1"/>
  <c r="A270" i="1"/>
  <c r="A269" i="1" a="1"/>
  <c r="A269" i="1"/>
  <c r="A268" i="1" a="1"/>
  <c r="A268" i="1"/>
  <c r="A267" i="1" a="1"/>
  <c r="A267" i="1"/>
  <c r="A266" i="1" a="1"/>
  <c r="A266" i="1"/>
  <c r="A265" i="1" a="1"/>
  <c r="A265" i="1"/>
  <c r="A264" i="1" a="1"/>
  <c r="A264" i="1"/>
  <c r="A263" i="1" a="1"/>
  <c r="A263" i="1"/>
  <c r="A262" i="1" a="1"/>
  <c r="A262" i="1"/>
  <c r="A261" i="1" a="1"/>
  <c r="A261" i="1"/>
  <c r="A260" i="1" a="1"/>
  <c r="A260" i="1"/>
  <c r="A259" i="1" a="1"/>
  <c r="A259" i="1"/>
  <c r="A258" i="1" a="1"/>
  <c r="A258" i="1"/>
  <c r="A257" i="1" a="1"/>
  <c r="A257" i="1"/>
  <c r="A256" i="1" a="1"/>
  <c r="A256" i="1"/>
  <c r="A255" i="1" a="1"/>
  <c r="A255" i="1"/>
  <c r="A254" i="1" a="1"/>
  <c r="A254" i="1"/>
  <c r="A253" i="1" a="1"/>
  <c r="A253" i="1"/>
  <c r="A252" i="1" a="1"/>
  <c r="A252" i="1"/>
  <c r="A251" i="1" a="1"/>
  <c r="A251" i="1"/>
  <c r="A250" i="1" a="1"/>
  <c r="A250" i="1"/>
  <c r="A249" i="1" a="1"/>
  <c r="A249" i="1"/>
  <c r="A248" i="1" a="1"/>
  <c r="A248" i="1"/>
  <c r="A247" i="1" a="1"/>
  <c r="A247" i="1"/>
  <c r="A246" i="1" a="1"/>
  <c r="A246" i="1"/>
  <c r="A245" i="1" a="1"/>
  <c r="A245" i="1"/>
  <c r="A244" i="1" a="1"/>
  <c r="A244" i="1"/>
  <c r="A243" i="1" a="1"/>
  <c r="A243" i="1"/>
  <c r="A242" i="1" a="1"/>
  <c r="A242" i="1"/>
  <c r="A241" i="1" a="1"/>
  <c r="A241" i="1"/>
  <c r="A240" i="1" a="1"/>
  <c r="A240" i="1"/>
  <c r="A239" i="1" a="1"/>
  <c r="A239" i="1"/>
  <c r="A238" i="1" a="1"/>
  <c r="A238" i="1"/>
  <c r="A237" i="1" a="1"/>
  <c r="A237" i="1"/>
  <c r="A236" i="1" a="1"/>
  <c r="A236" i="1"/>
  <c r="A235" i="1" a="1"/>
  <c r="A235" i="1"/>
  <c r="A234" i="1" a="1"/>
  <c r="A234" i="1"/>
  <c r="A233" i="1" a="1"/>
  <c r="A233" i="1"/>
  <c r="A232" i="1" a="1"/>
  <c r="A232" i="1"/>
  <c r="A231" i="1" a="1"/>
  <c r="A231" i="1"/>
  <c r="A230" i="1" a="1"/>
  <c r="A230" i="1"/>
  <c r="A229" i="1" a="1"/>
  <c r="A229" i="1"/>
  <c r="A228" i="1" a="1"/>
  <c r="A228" i="1"/>
  <c r="A227" i="1" a="1"/>
  <c r="A227" i="1"/>
  <c r="A226" i="1" a="1"/>
  <c r="A226" i="1"/>
  <c r="A225" i="1" a="1"/>
  <c r="A225" i="1"/>
  <c r="A224" i="1" a="1"/>
  <c r="A224" i="1"/>
  <c r="A223" i="1" a="1"/>
  <c r="A223" i="1"/>
  <c r="A222" i="1" a="1"/>
  <c r="A222" i="1"/>
  <c r="A221" i="1" a="1"/>
  <c r="A221" i="1"/>
  <c r="A220" i="1" a="1"/>
  <c r="A220" i="1"/>
  <c r="A219" i="1" a="1"/>
  <c r="A219" i="1"/>
  <c r="A218" i="1" a="1"/>
  <c r="A218" i="1"/>
  <c r="A217" i="1" a="1"/>
  <c r="A217" i="1"/>
  <c r="A216" i="1" a="1"/>
  <c r="A216" i="1"/>
  <c r="A215" i="1" a="1"/>
  <c r="A215" i="1"/>
  <c r="A214" i="1" a="1"/>
  <c r="A214" i="1"/>
  <c r="A213" i="1" a="1"/>
  <c r="A213" i="1"/>
  <c r="A212" i="1" a="1"/>
  <c r="A212" i="1"/>
  <c r="A211" i="1" a="1"/>
  <c r="A211" i="1"/>
  <c r="A210" i="1" a="1"/>
  <c r="A210" i="1"/>
  <c r="A209" i="1" a="1"/>
  <c r="A209" i="1"/>
  <c r="A208" i="1" a="1"/>
  <c r="A208" i="1"/>
  <c r="A207" i="1" a="1"/>
  <c r="A207" i="1"/>
  <c r="A206" i="1" a="1"/>
  <c r="A206" i="1"/>
  <c r="A205" i="1" a="1"/>
  <c r="A205" i="1"/>
  <c r="A204" i="1" a="1"/>
  <c r="A204" i="1"/>
  <c r="A203" i="1" a="1"/>
  <c r="A203" i="1"/>
  <c r="A202" i="1" a="1"/>
  <c r="A202" i="1"/>
  <c r="A201" i="1" a="1"/>
  <c r="A201" i="1"/>
  <c r="A200" i="1" a="1"/>
  <c r="A200" i="1"/>
  <c r="A199" i="1" a="1"/>
  <c r="A199" i="1"/>
  <c r="A198" i="1" a="1"/>
  <c r="A198" i="1"/>
  <c r="A197" i="1" a="1"/>
  <c r="A197" i="1"/>
  <c r="A196" i="1" a="1"/>
  <c r="A196" i="1"/>
  <c r="A195" i="1" a="1"/>
  <c r="A195" i="1"/>
  <c r="A194" i="1" a="1"/>
  <c r="A194" i="1"/>
  <c r="A193" i="1" a="1"/>
  <c r="A193" i="1"/>
  <c r="A192" i="1" a="1"/>
  <c r="A192" i="1"/>
  <c r="A191" i="1" a="1"/>
  <c r="A191" i="1"/>
  <c r="A190" i="1" a="1"/>
  <c r="A190" i="1"/>
  <c r="A189" i="1" a="1"/>
  <c r="A189" i="1"/>
  <c r="A188" i="1" a="1"/>
  <c r="A188" i="1"/>
  <c r="A187" i="1" a="1"/>
  <c r="A187" i="1"/>
  <c r="A186" i="1" a="1"/>
  <c r="A186" i="1"/>
  <c r="A185" i="1" a="1"/>
  <c r="A185" i="1"/>
  <c r="A184" i="1" a="1"/>
  <c r="A184" i="1"/>
  <c r="A183" i="1" a="1"/>
  <c r="A183" i="1"/>
  <c r="A182" i="1" a="1"/>
  <c r="A182" i="1"/>
  <c r="A181" i="1" a="1"/>
  <c r="A181" i="1"/>
  <c r="A180" i="1" a="1"/>
  <c r="A180" i="1"/>
  <c r="A179" i="1" a="1"/>
  <c r="A179" i="1"/>
  <c r="A178" i="1" a="1"/>
  <c r="A178" i="1"/>
  <c r="A177" i="1" a="1"/>
  <c r="A177" i="1"/>
  <c r="A176" i="1" a="1"/>
  <c r="A176" i="1"/>
  <c r="A175" i="1" a="1"/>
  <c r="A175" i="1"/>
  <c r="A174" i="1" a="1"/>
  <c r="A174" i="1"/>
  <c r="A173" i="1" a="1"/>
  <c r="A173" i="1"/>
  <c r="A172" i="1" a="1"/>
  <c r="A172" i="1"/>
  <c r="A171" i="1" a="1"/>
  <c r="A171" i="1"/>
  <c r="A170" i="1" a="1"/>
  <c r="A170" i="1"/>
  <c r="A169" i="1" a="1"/>
  <c r="A169" i="1"/>
  <c r="A168" i="1" a="1"/>
  <c r="A168" i="1"/>
  <c r="A167" i="1" a="1"/>
  <c r="A167" i="1"/>
  <c r="A166" i="1" a="1"/>
  <c r="A166" i="1"/>
  <c r="A165" i="1" a="1"/>
  <c r="A165" i="1"/>
  <c r="A164" i="1" a="1"/>
  <c r="A164" i="1"/>
  <c r="A163" i="1" a="1"/>
  <c r="A163" i="1"/>
  <c r="A162" i="1" a="1"/>
  <c r="A162" i="1"/>
  <c r="A161" i="1" a="1"/>
  <c r="A161" i="1"/>
  <c r="A160" i="1" a="1"/>
  <c r="A160" i="1"/>
  <c r="A159" i="1" a="1"/>
  <c r="A159" i="1"/>
  <c r="A158" i="1" a="1"/>
  <c r="A158" i="1"/>
  <c r="A157" i="1" a="1"/>
  <c r="A157" i="1"/>
  <c r="A156" i="1" a="1"/>
  <c r="A156" i="1"/>
  <c r="A155" i="1" a="1"/>
  <c r="A155" i="1"/>
  <c r="A154" i="1" a="1"/>
  <c r="A154" i="1"/>
  <c r="A153" i="1" a="1"/>
  <c r="A153" i="1"/>
  <c r="A152" i="1" a="1"/>
  <c r="A152" i="1"/>
  <c r="A151" i="1" a="1"/>
  <c r="A151" i="1"/>
  <c r="A150" i="1" a="1"/>
  <c r="A150" i="1"/>
  <c r="A149" i="1" a="1"/>
  <c r="A149" i="1"/>
  <c r="A148" i="1" a="1"/>
  <c r="A148" i="1"/>
  <c r="A147" i="1" a="1"/>
  <c r="A147" i="1"/>
  <c r="A146" i="1" a="1"/>
  <c r="A146" i="1"/>
  <c r="A145" i="1" a="1"/>
  <c r="A145" i="1"/>
  <c r="A144" i="1" a="1"/>
  <c r="A144" i="1"/>
  <c r="A143" i="1" a="1"/>
  <c r="A143" i="1"/>
  <c r="A142" i="1" a="1"/>
  <c r="A142" i="1"/>
  <c r="A141" i="1" a="1"/>
  <c r="A141" i="1"/>
  <c r="A140" i="1" a="1"/>
  <c r="A140" i="1"/>
  <c r="A139" i="1" a="1"/>
  <c r="A139" i="1"/>
  <c r="A138" i="1" a="1"/>
  <c r="A138" i="1"/>
  <c r="A137" i="1" a="1"/>
  <c r="A137" i="1"/>
  <c r="A136" i="1" a="1"/>
  <c r="A136" i="1"/>
  <c r="A135" i="1" a="1"/>
  <c r="A135" i="1"/>
  <c r="A134" i="1" a="1"/>
  <c r="A134" i="1"/>
  <c r="A133" i="1" a="1"/>
  <c r="A133" i="1"/>
  <c r="A132" i="1" a="1"/>
  <c r="A132" i="1"/>
  <c r="A131" i="1" a="1"/>
  <c r="A131" i="1"/>
  <c r="A130" i="1" a="1"/>
  <c r="A130" i="1"/>
  <c r="A129" i="1" a="1"/>
  <c r="A129" i="1"/>
  <c r="A128" i="1" a="1"/>
  <c r="A128" i="1"/>
  <c r="A127" i="1" a="1"/>
  <c r="A127" i="1"/>
  <c r="A126" i="1" a="1"/>
  <c r="A126" i="1"/>
  <c r="A125" i="1" a="1"/>
  <c r="A125" i="1"/>
  <c r="A124" i="1" a="1"/>
  <c r="A124" i="1"/>
  <c r="A123" i="1" a="1"/>
  <c r="A123" i="1"/>
  <c r="A122" i="1" a="1"/>
  <c r="A122" i="1"/>
  <c r="A121" i="1" a="1"/>
  <c r="A121" i="1"/>
  <c r="A120" i="1" a="1"/>
  <c r="A120" i="1"/>
  <c r="A119" i="1" a="1"/>
  <c r="A119" i="1"/>
  <c r="A118" i="1" a="1"/>
  <c r="A118" i="1"/>
  <c r="A117" i="1" a="1"/>
  <c r="A117" i="1"/>
  <c r="A116" i="1" a="1"/>
  <c r="A116" i="1"/>
  <c r="A115" i="1" a="1"/>
  <c r="A115" i="1"/>
  <c r="A114" i="1" a="1"/>
  <c r="A114" i="1"/>
  <c r="A113" i="1" a="1"/>
  <c r="A113" i="1"/>
  <c r="A112" i="1" a="1"/>
  <c r="A112" i="1"/>
  <c r="A111" i="1" a="1"/>
  <c r="A111" i="1"/>
  <c r="A110" i="1" a="1"/>
  <c r="A110" i="1"/>
  <c r="A109" i="1" a="1"/>
  <c r="A109" i="1"/>
  <c r="A108" i="1" a="1"/>
  <c r="A108" i="1"/>
  <c r="A107" i="1" a="1"/>
  <c r="A107" i="1"/>
  <c r="A106" i="1" a="1"/>
  <c r="A106" i="1"/>
  <c r="A105" i="1" a="1"/>
  <c r="A105" i="1"/>
  <c r="A104" i="1" a="1"/>
  <c r="A104" i="1"/>
  <c r="A103" i="1" a="1"/>
  <c r="A103" i="1"/>
  <c r="A102" i="1" a="1"/>
  <c r="A102" i="1"/>
  <c r="A101" i="1" a="1"/>
  <c r="A101" i="1"/>
  <c r="A100" i="1" a="1"/>
  <c r="A100" i="1"/>
  <c r="A99" i="1" a="1"/>
  <c r="A99" i="1"/>
  <c r="A98" i="1" a="1"/>
  <c r="A98" i="1"/>
  <c r="A97" i="1" a="1"/>
  <c r="A97" i="1"/>
  <c r="A96" i="1" a="1"/>
  <c r="A96" i="1"/>
  <c r="A95" i="1" a="1"/>
  <c r="A95" i="1"/>
  <c r="A94" i="1" a="1"/>
  <c r="A94" i="1"/>
  <c r="A93" i="1" a="1"/>
  <c r="A93" i="1"/>
  <c r="A92" i="1" a="1"/>
  <c r="A92" i="1"/>
  <c r="A91" i="1" a="1"/>
  <c r="A91" i="1"/>
  <c r="A90" i="1" a="1"/>
  <c r="A90" i="1"/>
  <c r="A89" i="1" a="1"/>
  <c r="A89" i="1"/>
  <c r="A88" i="1" a="1"/>
  <c r="A88" i="1"/>
  <c r="A87" i="1" a="1"/>
  <c r="A87" i="1"/>
  <c r="A86" i="1" a="1"/>
  <c r="A86" i="1"/>
  <c r="A85" i="1" a="1"/>
  <c r="A85" i="1"/>
  <c r="A84" i="1" a="1"/>
  <c r="A84" i="1"/>
  <c r="A83" i="1" a="1"/>
  <c r="A83" i="1"/>
  <c r="A82" i="1" a="1"/>
  <c r="A82" i="1"/>
  <c r="A81" i="1" a="1"/>
  <c r="A81" i="1"/>
  <c r="A80" i="1" a="1"/>
  <c r="A80" i="1"/>
  <c r="A79" i="1" a="1"/>
  <c r="A79" i="1"/>
  <c r="A78" i="1" a="1"/>
  <c r="A78" i="1"/>
  <c r="A77" i="1" a="1"/>
  <c r="A77" i="1"/>
  <c r="A76" i="1" a="1"/>
  <c r="A76" i="1"/>
  <c r="A75" i="1" a="1"/>
  <c r="A75" i="1"/>
  <c r="A74" i="1" a="1"/>
  <c r="A74" i="1"/>
  <c r="A73" i="1" a="1"/>
  <c r="A73" i="1"/>
  <c r="A72" i="1" a="1"/>
  <c r="A72" i="1"/>
  <c r="A71" i="1" a="1"/>
  <c r="A71" i="1"/>
  <c r="A70" i="1" a="1"/>
  <c r="A70" i="1"/>
  <c r="A69" i="1" a="1"/>
  <c r="A69" i="1"/>
  <c r="A68" i="1" a="1"/>
  <c r="A68" i="1"/>
  <c r="A67" i="1" a="1"/>
  <c r="A67" i="1"/>
  <c r="A66" i="1" a="1"/>
  <c r="A66" i="1"/>
  <c r="A65" i="1" a="1"/>
  <c r="A65" i="1"/>
  <c r="A64" i="1" a="1"/>
  <c r="A64" i="1"/>
  <c r="A63" i="1" a="1"/>
  <c r="A63" i="1"/>
  <c r="A62" i="1" a="1"/>
  <c r="A62" i="1"/>
  <c r="A61" i="1" a="1"/>
  <c r="A61" i="1"/>
  <c r="A60" i="1" a="1"/>
  <c r="A60" i="1"/>
  <c r="A59" i="1" a="1"/>
  <c r="A59" i="1"/>
  <c r="A58" i="1" a="1"/>
  <c r="A58" i="1"/>
  <c r="A57" i="1" a="1"/>
  <c r="A57" i="1"/>
  <c r="A56" i="1" a="1"/>
  <c r="A56" i="1"/>
  <c r="A55" i="1" a="1"/>
  <c r="A55" i="1"/>
  <c r="A54" i="1" a="1"/>
  <c r="A54" i="1"/>
  <c r="A53" i="1" a="1"/>
  <c r="A53" i="1"/>
  <c r="A52" i="1" a="1"/>
  <c r="A52" i="1"/>
  <c r="A51" i="1" a="1"/>
  <c r="A51" i="1"/>
  <c r="A50" i="1" a="1"/>
  <c r="A50" i="1"/>
  <c r="A49" i="1" a="1"/>
  <c r="A49" i="1"/>
  <c r="A48" i="1" a="1"/>
  <c r="A48" i="1"/>
  <c r="A47" i="1" a="1"/>
  <c r="A47" i="1"/>
  <c r="A46" i="1" a="1"/>
  <c r="A46" i="1"/>
  <c r="A45" i="1" a="1"/>
  <c r="A45" i="1"/>
  <c r="A44" i="1" a="1"/>
  <c r="A44" i="1"/>
  <c r="A43" i="1" a="1"/>
  <c r="A43" i="1"/>
  <c r="A42" i="1" a="1"/>
  <c r="A42" i="1"/>
  <c r="A41" i="1" a="1"/>
  <c r="A41" i="1"/>
  <c r="A40" i="1" a="1"/>
  <c r="A40" i="1"/>
  <c r="A39" i="1" a="1"/>
  <c r="A39" i="1"/>
  <c r="A38" i="1" a="1"/>
  <c r="A38" i="1"/>
  <c r="A37" i="1" a="1"/>
  <c r="A37" i="1"/>
  <c r="A36" i="1" a="1"/>
  <c r="A36" i="1"/>
  <c r="A35" i="1" a="1"/>
  <c r="A35" i="1"/>
  <c r="A34" i="1" a="1"/>
  <c r="A34" i="1"/>
  <c r="A33" i="1" a="1"/>
  <c r="A33" i="1"/>
  <c r="A32" i="1" a="1"/>
  <c r="A32" i="1"/>
  <c r="A31" i="1" a="1"/>
  <c r="A31" i="1"/>
  <c r="A30" i="1" a="1"/>
  <c r="A30" i="1"/>
  <c r="A29" i="1" a="1"/>
  <c r="A29" i="1"/>
  <c r="A28" i="1" a="1"/>
  <c r="A28" i="1"/>
  <c r="A27" i="1" a="1"/>
  <c r="A27" i="1"/>
  <c r="A26" i="1" a="1"/>
  <c r="A26" i="1"/>
  <c r="A25" i="1" a="1"/>
  <c r="A25" i="1"/>
  <c r="A24" i="1" a="1"/>
  <c r="A24" i="1"/>
  <c r="A23" i="1" a="1"/>
  <c r="A23" i="1"/>
  <c r="A22" i="1" a="1"/>
  <c r="A22" i="1"/>
  <c r="A21" i="1" a="1"/>
  <c r="A21" i="1"/>
  <c r="A20" i="1" a="1"/>
  <c r="A20" i="1"/>
  <c r="A19" i="1" a="1"/>
  <c r="A19" i="1"/>
  <c r="A18" i="1" a="1"/>
  <c r="A18" i="1"/>
  <c r="A17" i="1" a="1"/>
  <c r="A17" i="1"/>
  <c r="A16" i="1" a="1"/>
  <c r="A16" i="1"/>
  <c r="A15" i="1" a="1"/>
  <c r="A15" i="1"/>
  <c r="A14" i="1" a="1"/>
  <c r="A14" i="1"/>
  <c r="A13" i="1" a="1"/>
  <c r="A13" i="1"/>
  <c r="A12" i="1" a="1"/>
  <c r="A12" i="1"/>
  <c r="A11" i="1" a="1"/>
  <c r="A11" i="1"/>
  <c r="A10" i="1" a="1"/>
  <c r="A10" i="1"/>
  <c r="A9" i="1" a="1"/>
  <c r="A9" i="1"/>
  <c r="A8" i="1" a="1"/>
  <c r="A8" i="1"/>
  <c r="A7" i="1" a="1"/>
  <c r="A7" i="1"/>
  <c r="A6" i="1" a="1"/>
  <c r="A6" i="1"/>
  <c r="A5" i="1" a="1"/>
  <c r="A5" i="1"/>
  <c r="A4" i="1" a="1"/>
  <c r="A4" i="1"/>
  <c r="A3" i="1" a="1"/>
  <c r="A3" i="1"/>
  <c r="A2" i="1" a="1"/>
  <c r="A2" i="1"/>
  <c r="P629" i="1"/>
  <c r="O629" i="1"/>
  <c r="P628" i="1"/>
  <c r="O628" i="1"/>
  <c r="P627" i="1"/>
  <c r="O627" i="1"/>
  <c r="P626" i="1"/>
  <c r="O626" i="1"/>
  <c r="P625" i="1"/>
  <c r="O625" i="1"/>
  <c r="P624" i="1"/>
  <c r="O624" i="1"/>
  <c r="P623" i="1"/>
  <c r="O623" i="1"/>
  <c r="P622" i="1"/>
  <c r="O622" i="1"/>
  <c r="P621" i="1"/>
  <c r="O621" i="1"/>
  <c r="P620" i="1"/>
  <c r="O620" i="1"/>
  <c r="P619" i="1"/>
  <c r="O619" i="1"/>
  <c r="P618" i="1"/>
  <c r="O618" i="1"/>
  <c r="P617" i="1"/>
  <c r="O617" i="1"/>
  <c r="P616" i="1"/>
  <c r="O616" i="1"/>
  <c r="P615" i="1"/>
  <c r="O615" i="1"/>
  <c r="P614" i="1"/>
  <c r="O614" i="1"/>
  <c r="P613" i="1"/>
  <c r="O613" i="1"/>
  <c r="P612" i="1"/>
  <c r="O612" i="1"/>
  <c r="P611" i="1"/>
  <c r="O611" i="1"/>
  <c r="P610" i="1"/>
  <c r="O610" i="1"/>
  <c r="P609" i="1"/>
  <c r="O609" i="1"/>
  <c r="P608" i="1"/>
  <c r="O608" i="1"/>
  <c r="P607" i="1"/>
  <c r="O607" i="1"/>
  <c r="P606" i="1"/>
  <c r="O606" i="1"/>
  <c r="P605" i="1"/>
  <c r="O605" i="1"/>
  <c r="P604" i="1"/>
  <c r="O604" i="1"/>
  <c r="P603" i="1"/>
  <c r="O603" i="1"/>
  <c r="P602" i="1"/>
  <c r="O602" i="1"/>
  <c r="P601" i="1"/>
  <c r="O601" i="1"/>
  <c r="P600" i="1"/>
  <c r="O600" i="1"/>
  <c r="P599" i="1"/>
  <c r="O599" i="1"/>
  <c r="P598" i="1"/>
  <c r="O598" i="1"/>
  <c r="P597" i="1"/>
  <c r="O597" i="1"/>
  <c r="P596" i="1"/>
  <c r="O596" i="1"/>
  <c r="P595" i="1"/>
  <c r="O595" i="1"/>
  <c r="P594" i="1"/>
  <c r="O594" i="1"/>
  <c r="P593" i="1"/>
  <c r="O593" i="1"/>
  <c r="P592" i="1"/>
  <c r="O592" i="1"/>
  <c r="P591" i="1"/>
  <c r="O591" i="1"/>
  <c r="P590" i="1"/>
  <c r="O590" i="1"/>
  <c r="P589" i="1"/>
  <c r="O589" i="1"/>
  <c r="P588" i="1"/>
  <c r="O588" i="1"/>
  <c r="P587" i="1"/>
  <c r="O587" i="1"/>
  <c r="P586" i="1"/>
  <c r="O586" i="1"/>
  <c r="P585" i="1"/>
  <c r="O585" i="1"/>
  <c r="P584" i="1"/>
  <c r="O584" i="1"/>
  <c r="P583" i="1"/>
  <c r="O583" i="1"/>
  <c r="P582" i="1"/>
  <c r="O582" i="1"/>
  <c r="P581" i="1"/>
  <c r="O581" i="1"/>
  <c r="P580" i="1"/>
  <c r="O580" i="1"/>
  <c r="P579" i="1"/>
  <c r="O579" i="1"/>
  <c r="P578" i="1"/>
  <c r="O578" i="1"/>
  <c r="P577" i="1"/>
  <c r="O577" i="1"/>
  <c r="P576" i="1"/>
  <c r="O576" i="1"/>
  <c r="P575" i="1"/>
  <c r="O575" i="1"/>
  <c r="P574" i="1"/>
  <c r="O574" i="1"/>
  <c r="P573" i="1"/>
  <c r="O573" i="1"/>
  <c r="P572" i="1"/>
  <c r="O572" i="1"/>
  <c r="P571" i="1"/>
  <c r="O571" i="1"/>
  <c r="P570" i="1"/>
  <c r="O570" i="1"/>
  <c r="P569" i="1"/>
  <c r="O569" i="1"/>
  <c r="P568" i="1"/>
  <c r="O568" i="1"/>
  <c r="P567" i="1"/>
  <c r="O567" i="1"/>
  <c r="P566" i="1"/>
  <c r="O566" i="1"/>
  <c r="P565" i="1"/>
  <c r="O565" i="1"/>
  <c r="P564" i="1"/>
  <c r="O564" i="1"/>
  <c r="P563" i="1"/>
  <c r="O563" i="1"/>
  <c r="P562" i="1"/>
  <c r="O562" i="1"/>
  <c r="P561" i="1"/>
  <c r="O561" i="1"/>
  <c r="P560" i="1"/>
  <c r="O560" i="1"/>
  <c r="P559" i="1"/>
  <c r="O559" i="1"/>
  <c r="P558" i="1"/>
  <c r="O558" i="1"/>
  <c r="P557" i="1"/>
  <c r="O557" i="1"/>
  <c r="P556" i="1"/>
  <c r="O556" i="1"/>
  <c r="P555" i="1"/>
  <c r="O555" i="1"/>
  <c r="P554" i="1"/>
  <c r="O554" i="1"/>
  <c r="P553" i="1"/>
  <c r="O553" i="1"/>
  <c r="P552" i="1"/>
  <c r="O552" i="1"/>
  <c r="P551" i="1"/>
  <c r="O551" i="1"/>
  <c r="P550" i="1"/>
  <c r="O550" i="1"/>
  <c r="P549" i="1"/>
  <c r="O549" i="1"/>
  <c r="P548" i="1"/>
  <c r="O548" i="1"/>
  <c r="P547" i="1"/>
  <c r="O547" i="1"/>
  <c r="P546" i="1"/>
  <c r="O546" i="1"/>
  <c r="P545" i="1"/>
  <c r="O545" i="1"/>
  <c r="P544" i="1"/>
  <c r="O544" i="1"/>
  <c r="P543" i="1"/>
  <c r="O543" i="1"/>
  <c r="P542" i="1"/>
  <c r="O542" i="1"/>
  <c r="P541" i="1"/>
  <c r="O541" i="1"/>
  <c r="P540" i="1"/>
  <c r="O540" i="1"/>
  <c r="P539" i="1"/>
  <c r="O539" i="1"/>
  <c r="P538" i="1"/>
  <c r="O538" i="1"/>
  <c r="P537" i="1"/>
  <c r="O537" i="1"/>
  <c r="P536" i="1"/>
  <c r="O536" i="1"/>
  <c r="P535" i="1"/>
  <c r="O535" i="1"/>
  <c r="P534" i="1"/>
  <c r="O534" i="1"/>
  <c r="P533" i="1"/>
  <c r="O533" i="1"/>
  <c r="P532" i="1"/>
  <c r="O532" i="1"/>
  <c r="P531" i="1"/>
  <c r="O531" i="1"/>
  <c r="P530" i="1"/>
  <c r="O530" i="1"/>
  <c r="P529" i="1"/>
  <c r="O529" i="1"/>
  <c r="P528" i="1"/>
  <c r="O528" i="1"/>
  <c r="P527" i="1"/>
  <c r="O527" i="1"/>
  <c r="P526" i="1"/>
  <c r="O526" i="1"/>
  <c r="P525" i="1"/>
  <c r="O525" i="1"/>
  <c r="P524" i="1"/>
  <c r="O524" i="1"/>
  <c r="P523" i="1"/>
  <c r="O523" i="1"/>
  <c r="P522" i="1"/>
  <c r="O522" i="1"/>
  <c r="P521" i="1"/>
  <c r="O521" i="1"/>
  <c r="P520" i="1"/>
  <c r="O520" i="1"/>
  <c r="P519" i="1"/>
  <c r="O519" i="1"/>
  <c r="P518" i="1"/>
  <c r="O518" i="1"/>
  <c r="P517" i="1"/>
  <c r="O517" i="1"/>
  <c r="P516" i="1"/>
  <c r="O516" i="1"/>
  <c r="P515" i="1"/>
  <c r="O515" i="1"/>
  <c r="P514" i="1"/>
  <c r="O514" i="1"/>
  <c r="P513" i="1"/>
  <c r="O513" i="1"/>
  <c r="P512" i="1"/>
  <c r="O512" i="1"/>
  <c r="P511" i="1"/>
  <c r="O511" i="1"/>
  <c r="P510" i="1"/>
  <c r="O510" i="1"/>
  <c r="P509" i="1"/>
  <c r="O509" i="1"/>
  <c r="P508" i="1"/>
  <c r="O508" i="1"/>
  <c r="P507" i="1"/>
  <c r="O507" i="1"/>
  <c r="P506" i="1"/>
  <c r="O506" i="1"/>
  <c r="P505" i="1"/>
  <c r="O505" i="1"/>
  <c r="P504" i="1"/>
  <c r="O504" i="1"/>
  <c r="P503" i="1"/>
  <c r="O503" i="1"/>
  <c r="P502" i="1"/>
  <c r="O502" i="1"/>
  <c r="P501" i="1"/>
  <c r="O501" i="1"/>
  <c r="P500" i="1"/>
  <c r="O500" i="1"/>
  <c r="P499" i="1"/>
  <c r="O499" i="1"/>
  <c r="P498" i="1"/>
  <c r="O498" i="1"/>
  <c r="P497" i="1"/>
  <c r="O497" i="1"/>
  <c r="P496" i="1"/>
  <c r="O496" i="1"/>
  <c r="P495" i="1"/>
  <c r="O495" i="1"/>
  <c r="P494" i="1"/>
  <c r="O494" i="1"/>
  <c r="P493" i="1"/>
  <c r="O493" i="1"/>
  <c r="P492" i="1"/>
  <c r="O492" i="1"/>
  <c r="P491" i="1"/>
  <c r="O491" i="1"/>
  <c r="P490" i="1"/>
  <c r="O490" i="1"/>
  <c r="P489" i="1"/>
  <c r="O489" i="1"/>
  <c r="P488" i="1"/>
  <c r="O488" i="1"/>
  <c r="P487" i="1"/>
  <c r="O487" i="1"/>
  <c r="P486" i="1"/>
  <c r="O486" i="1"/>
  <c r="P485" i="1"/>
  <c r="O485" i="1"/>
  <c r="P484" i="1"/>
  <c r="O484" i="1"/>
  <c r="P483" i="1"/>
  <c r="O483" i="1"/>
  <c r="P482" i="1"/>
  <c r="O482" i="1"/>
  <c r="P481" i="1"/>
  <c r="O481" i="1"/>
  <c r="P480" i="1"/>
  <c r="O480" i="1"/>
  <c r="P479" i="1"/>
  <c r="O479" i="1"/>
  <c r="P478" i="1"/>
  <c r="O478" i="1"/>
  <c r="P477" i="1"/>
  <c r="O477" i="1"/>
  <c r="P476" i="1"/>
  <c r="O476" i="1"/>
  <c r="P475" i="1"/>
  <c r="O475" i="1"/>
  <c r="P474" i="1"/>
  <c r="O474" i="1"/>
  <c r="P473" i="1"/>
  <c r="O473" i="1"/>
  <c r="P472" i="1"/>
  <c r="O472" i="1"/>
  <c r="P471" i="1"/>
  <c r="O471" i="1"/>
  <c r="P470" i="1"/>
  <c r="O470" i="1"/>
  <c r="P469" i="1"/>
  <c r="O469" i="1"/>
  <c r="P468" i="1"/>
  <c r="O468" i="1"/>
  <c r="P467" i="1"/>
  <c r="O467" i="1"/>
  <c r="P466" i="1"/>
  <c r="O466" i="1"/>
  <c r="P465" i="1"/>
  <c r="O465" i="1"/>
  <c r="P464" i="1"/>
  <c r="O464" i="1"/>
  <c r="P463" i="1"/>
  <c r="O463" i="1"/>
  <c r="P462" i="1"/>
  <c r="O462" i="1"/>
  <c r="P461" i="1"/>
  <c r="O461" i="1"/>
  <c r="P460" i="1"/>
  <c r="O460" i="1"/>
  <c r="P459" i="1"/>
  <c r="O459" i="1"/>
  <c r="P458" i="1"/>
  <c r="O458" i="1"/>
  <c r="P457" i="1"/>
  <c r="O457" i="1"/>
  <c r="P456" i="1"/>
  <c r="O456" i="1"/>
  <c r="P455" i="1"/>
  <c r="O455" i="1"/>
  <c r="P454" i="1"/>
  <c r="O454" i="1"/>
  <c r="P453" i="1"/>
  <c r="O453" i="1"/>
  <c r="P452" i="1"/>
  <c r="O452" i="1"/>
  <c r="P451" i="1"/>
  <c r="O451" i="1"/>
  <c r="P450" i="1"/>
  <c r="O450" i="1"/>
  <c r="P449" i="1"/>
  <c r="O449" i="1"/>
  <c r="P448" i="1"/>
  <c r="O448" i="1"/>
  <c r="P447" i="1"/>
  <c r="O447" i="1"/>
  <c r="P446" i="1"/>
  <c r="O446" i="1"/>
  <c r="P445" i="1"/>
  <c r="O445" i="1"/>
  <c r="P444" i="1"/>
  <c r="O444" i="1"/>
  <c r="P443" i="1"/>
  <c r="O443" i="1"/>
  <c r="P442" i="1"/>
  <c r="O442" i="1"/>
  <c r="P441" i="1"/>
  <c r="O441" i="1"/>
  <c r="P440" i="1"/>
  <c r="O440" i="1"/>
  <c r="P439" i="1"/>
  <c r="O439" i="1"/>
  <c r="P438" i="1"/>
  <c r="O438" i="1"/>
  <c r="P437" i="1"/>
  <c r="O437" i="1"/>
  <c r="P436" i="1"/>
  <c r="O436" i="1"/>
  <c r="P435" i="1"/>
  <c r="O435" i="1"/>
  <c r="P434" i="1"/>
  <c r="O434" i="1"/>
  <c r="P433" i="1"/>
  <c r="O433" i="1"/>
  <c r="P432" i="1"/>
  <c r="O432" i="1"/>
  <c r="P431" i="1"/>
  <c r="O431" i="1"/>
  <c r="P430" i="1"/>
  <c r="O430" i="1"/>
  <c r="P429" i="1"/>
  <c r="O429" i="1"/>
  <c r="P428" i="1"/>
  <c r="O428" i="1"/>
  <c r="P427" i="1"/>
  <c r="O427" i="1"/>
  <c r="P426" i="1"/>
  <c r="O426" i="1"/>
  <c r="P425" i="1"/>
  <c r="O425" i="1"/>
  <c r="P424" i="1"/>
  <c r="O424" i="1"/>
  <c r="P423" i="1"/>
  <c r="O423" i="1"/>
  <c r="P422" i="1"/>
  <c r="O422" i="1"/>
  <c r="P421" i="1"/>
  <c r="O421" i="1"/>
  <c r="P420" i="1"/>
  <c r="O420" i="1"/>
  <c r="P419" i="1"/>
  <c r="O419" i="1"/>
  <c r="P418" i="1"/>
  <c r="O418" i="1"/>
  <c r="P417" i="1"/>
  <c r="O417" i="1"/>
  <c r="P416" i="1"/>
  <c r="O416" i="1"/>
  <c r="P415" i="1"/>
  <c r="O415" i="1"/>
  <c r="P414" i="1"/>
  <c r="O414" i="1"/>
  <c r="P413" i="1"/>
  <c r="O413" i="1"/>
  <c r="P412" i="1"/>
  <c r="O412" i="1"/>
  <c r="P411" i="1"/>
  <c r="O411" i="1"/>
  <c r="P410" i="1"/>
  <c r="O410" i="1"/>
  <c r="P409" i="1"/>
  <c r="O409" i="1"/>
  <c r="P408" i="1"/>
  <c r="O408" i="1"/>
  <c r="P407" i="1"/>
  <c r="O407" i="1"/>
  <c r="P406" i="1"/>
  <c r="O406" i="1"/>
  <c r="P405" i="1"/>
  <c r="O405" i="1"/>
  <c r="P404" i="1"/>
  <c r="O404" i="1"/>
  <c r="P403" i="1"/>
  <c r="O403" i="1"/>
  <c r="P402" i="1"/>
  <c r="O402" i="1"/>
  <c r="P401" i="1"/>
  <c r="O401" i="1"/>
  <c r="P400" i="1"/>
  <c r="O400" i="1"/>
  <c r="P399" i="1"/>
  <c r="O399" i="1"/>
  <c r="P398" i="1"/>
  <c r="O398" i="1"/>
  <c r="P397" i="1"/>
  <c r="O397" i="1"/>
  <c r="P396" i="1"/>
  <c r="O396" i="1"/>
  <c r="P395" i="1"/>
  <c r="O395" i="1"/>
  <c r="P394" i="1"/>
  <c r="O394" i="1"/>
  <c r="P393" i="1"/>
  <c r="O393" i="1"/>
  <c r="P392" i="1"/>
  <c r="O392" i="1"/>
  <c r="P391" i="1"/>
  <c r="O391" i="1"/>
  <c r="P390" i="1"/>
  <c r="O390" i="1"/>
  <c r="P389" i="1"/>
  <c r="O389" i="1"/>
  <c r="P388" i="1"/>
  <c r="O388" i="1"/>
  <c r="P387" i="1"/>
  <c r="O387" i="1"/>
  <c r="P386" i="1"/>
  <c r="O386" i="1"/>
  <c r="P385" i="1"/>
  <c r="O385" i="1"/>
  <c r="P384" i="1"/>
  <c r="O384" i="1"/>
  <c r="P383" i="1"/>
  <c r="O383" i="1"/>
  <c r="P382" i="1"/>
  <c r="O382" i="1"/>
  <c r="P381" i="1"/>
  <c r="O381" i="1"/>
  <c r="P380" i="1"/>
  <c r="O380" i="1"/>
  <c r="P379" i="1"/>
  <c r="O379" i="1"/>
  <c r="P378" i="1"/>
  <c r="O378" i="1"/>
  <c r="P377" i="1"/>
  <c r="O377" i="1"/>
  <c r="P376" i="1"/>
  <c r="O376" i="1"/>
  <c r="P375" i="1"/>
  <c r="O375" i="1"/>
  <c r="P374" i="1"/>
  <c r="O374" i="1"/>
  <c r="P373" i="1"/>
  <c r="O373" i="1"/>
  <c r="P372" i="1"/>
  <c r="O372" i="1"/>
  <c r="P371" i="1"/>
  <c r="O371" i="1"/>
  <c r="P370" i="1"/>
  <c r="O370" i="1"/>
  <c r="P369" i="1"/>
  <c r="O369" i="1"/>
  <c r="P368" i="1"/>
  <c r="O368" i="1"/>
  <c r="P367" i="1"/>
  <c r="O367" i="1"/>
  <c r="P366" i="1"/>
  <c r="O366" i="1"/>
  <c r="P365" i="1"/>
  <c r="O365" i="1"/>
  <c r="P364" i="1"/>
  <c r="O364" i="1"/>
  <c r="P363" i="1"/>
  <c r="O363" i="1"/>
  <c r="P362" i="1"/>
  <c r="O362" i="1"/>
  <c r="P361" i="1"/>
  <c r="O361" i="1"/>
  <c r="P360" i="1"/>
  <c r="O360" i="1"/>
  <c r="P359" i="1"/>
  <c r="O359" i="1"/>
  <c r="P358" i="1"/>
  <c r="O358" i="1"/>
  <c r="P357" i="1"/>
  <c r="O357" i="1"/>
  <c r="P356" i="1"/>
  <c r="O356" i="1"/>
  <c r="P355" i="1"/>
  <c r="O355" i="1"/>
  <c r="P354" i="1"/>
  <c r="O354" i="1"/>
  <c r="P353" i="1"/>
  <c r="O353" i="1"/>
  <c r="P352" i="1"/>
  <c r="O352" i="1"/>
  <c r="P351" i="1"/>
  <c r="O351" i="1"/>
  <c r="P350" i="1"/>
  <c r="O350" i="1"/>
  <c r="P349" i="1"/>
  <c r="O349" i="1"/>
  <c r="P348" i="1"/>
  <c r="O348" i="1"/>
  <c r="P347" i="1"/>
  <c r="O347" i="1"/>
  <c r="P346" i="1"/>
  <c r="O346" i="1"/>
  <c r="P345" i="1"/>
  <c r="O345" i="1"/>
  <c r="P344" i="1"/>
  <c r="O344" i="1"/>
  <c r="P343" i="1"/>
  <c r="O343" i="1"/>
  <c r="P342" i="1"/>
  <c r="O342" i="1"/>
  <c r="P341" i="1"/>
  <c r="O341" i="1"/>
  <c r="P340" i="1"/>
  <c r="O340" i="1"/>
  <c r="P339" i="1"/>
  <c r="O339" i="1"/>
  <c r="P338" i="1"/>
  <c r="O338" i="1"/>
  <c r="P337" i="1"/>
  <c r="O337" i="1"/>
  <c r="P336" i="1"/>
  <c r="O336" i="1"/>
  <c r="P335" i="1"/>
  <c r="O335" i="1"/>
  <c r="P334" i="1"/>
  <c r="O334" i="1"/>
  <c r="P333" i="1"/>
  <c r="O333" i="1"/>
  <c r="P332" i="1"/>
  <c r="O332" i="1"/>
  <c r="P331" i="1"/>
  <c r="O331" i="1"/>
  <c r="P330" i="1"/>
  <c r="O330" i="1"/>
  <c r="P329" i="1"/>
  <c r="O329" i="1"/>
  <c r="P328" i="1"/>
  <c r="O328" i="1"/>
  <c r="P327" i="1"/>
  <c r="O327" i="1"/>
  <c r="P326" i="1"/>
  <c r="O326" i="1"/>
  <c r="P325" i="1"/>
  <c r="O325" i="1"/>
  <c r="P324" i="1"/>
  <c r="O324" i="1"/>
  <c r="P323" i="1"/>
  <c r="O323" i="1"/>
  <c r="P322" i="1"/>
  <c r="O322" i="1"/>
  <c r="P321" i="1"/>
  <c r="O321" i="1"/>
  <c r="P320" i="1"/>
  <c r="O320" i="1"/>
  <c r="P319" i="1"/>
  <c r="O319" i="1"/>
  <c r="P318" i="1"/>
  <c r="O318" i="1"/>
  <c r="P317" i="1"/>
  <c r="O317" i="1"/>
  <c r="P316" i="1"/>
  <c r="O316" i="1"/>
  <c r="P315" i="1"/>
  <c r="O315" i="1"/>
  <c r="P314" i="1"/>
  <c r="O314" i="1"/>
  <c r="P313" i="1"/>
  <c r="O313" i="1"/>
  <c r="P312" i="1"/>
  <c r="O312" i="1"/>
  <c r="P311" i="1"/>
  <c r="O311" i="1"/>
  <c r="P310" i="1"/>
  <c r="O310" i="1"/>
  <c r="P309" i="1"/>
  <c r="O309" i="1"/>
  <c r="P308" i="1"/>
  <c r="O308" i="1"/>
  <c r="P307" i="1"/>
  <c r="O307" i="1"/>
  <c r="P306" i="1"/>
  <c r="O306" i="1"/>
  <c r="P305" i="1"/>
  <c r="O305" i="1"/>
  <c r="P304" i="1"/>
  <c r="O304" i="1"/>
  <c r="P303" i="1"/>
  <c r="O303" i="1"/>
  <c r="P302" i="1"/>
  <c r="O302" i="1"/>
  <c r="P301" i="1"/>
  <c r="O301" i="1"/>
  <c r="P300" i="1"/>
  <c r="O300" i="1"/>
  <c r="P299" i="1"/>
  <c r="O299" i="1"/>
  <c r="P298" i="1"/>
  <c r="O298" i="1"/>
  <c r="P297" i="1"/>
  <c r="O297" i="1"/>
  <c r="P296" i="1"/>
  <c r="O296" i="1"/>
  <c r="P295" i="1"/>
  <c r="O295" i="1"/>
  <c r="P294" i="1"/>
  <c r="O294" i="1"/>
  <c r="P293" i="1"/>
  <c r="O293" i="1"/>
  <c r="P292" i="1"/>
  <c r="O292" i="1"/>
  <c r="P291" i="1"/>
  <c r="O291" i="1"/>
  <c r="P290" i="1"/>
  <c r="O290" i="1"/>
  <c r="P289" i="1"/>
  <c r="O289" i="1"/>
  <c r="P288" i="1"/>
  <c r="O288" i="1"/>
  <c r="P287" i="1"/>
  <c r="O287" i="1"/>
  <c r="P286" i="1"/>
  <c r="O286" i="1"/>
  <c r="P285" i="1"/>
  <c r="O285" i="1"/>
  <c r="P284" i="1"/>
  <c r="O284" i="1"/>
  <c r="P283" i="1"/>
  <c r="O283" i="1"/>
  <c r="P282" i="1"/>
  <c r="O282" i="1"/>
  <c r="P281" i="1"/>
  <c r="O281" i="1"/>
  <c r="P280" i="1"/>
  <c r="O280" i="1"/>
  <c r="P279" i="1"/>
  <c r="O279" i="1"/>
  <c r="P278" i="1"/>
  <c r="O278" i="1"/>
  <c r="P277" i="1"/>
  <c r="O277" i="1"/>
  <c r="P276" i="1"/>
  <c r="O276" i="1"/>
  <c r="P275" i="1"/>
  <c r="O275" i="1"/>
  <c r="P274" i="1"/>
  <c r="O274" i="1"/>
  <c r="P273" i="1"/>
  <c r="O273" i="1"/>
  <c r="P272" i="1"/>
  <c r="O272" i="1"/>
  <c r="P271" i="1"/>
  <c r="O271" i="1"/>
  <c r="P270" i="1"/>
  <c r="O270" i="1"/>
  <c r="P269" i="1"/>
  <c r="O269" i="1"/>
  <c r="P268" i="1"/>
  <c r="O268" i="1"/>
  <c r="P267" i="1"/>
  <c r="O267" i="1"/>
  <c r="P266" i="1"/>
  <c r="O266" i="1"/>
  <c r="P265" i="1"/>
  <c r="O265" i="1"/>
  <c r="P264" i="1"/>
  <c r="O264" i="1"/>
  <c r="P263" i="1"/>
  <c r="O263" i="1"/>
  <c r="P262" i="1"/>
  <c r="O262" i="1"/>
  <c r="P261" i="1"/>
  <c r="O261" i="1"/>
  <c r="P260" i="1"/>
  <c r="O260" i="1"/>
  <c r="P259" i="1"/>
  <c r="O259" i="1"/>
  <c r="P258" i="1"/>
  <c r="O258" i="1"/>
  <c r="P257" i="1"/>
  <c r="O257" i="1"/>
  <c r="P256" i="1"/>
  <c r="O256" i="1"/>
  <c r="P255" i="1"/>
  <c r="O255" i="1"/>
  <c r="P254" i="1"/>
  <c r="O254" i="1"/>
  <c r="P253" i="1"/>
  <c r="O253" i="1"/>
  <c r="P252" i="1"/>
  <c r="O252" i="1"/>
  <c r="P251" i="1"/>
  <c r="O251" i="1"/>
  <c r="P250" i="1"/>
  <c r="O250" i="1"/>
  <c r="P249" i="1"/>
  <c r="O249" i="1"/>
  <c r="P248" i="1"/>
  <c r="O248" i="1"/>
  <c r="P247" i="1"/>
  <c r="O247" i="1"/>
  <c r="P246" i="1"/>
  <c r="O246" i="1"/>
  <c r="P245" i="1"/>
  <c r="O245" i="1"/>
  <c r="P244" i="1"/>
  <c r="O244" i="1"/>
  <c r="P243" i="1"/>
  <c r="O243" i="1"/>
  <c r="P242" i="1"/>
  <c r="O242" i="1"/>
  <c r="P241" i="1"/>
  <c r="O241" i="1"/>
  <c r="P240" i="1"/>
  <c r="O240" i="1"/>
  <c r="P239" i="1"/>
  <c r="O239" i="1"/>
  <c r="P238" i="1"/>
  <c r="O238" i="1"/>
  <c r="P237" i="1"/>
  <c r="O237" i="1"/>
  <c r="P236" i="1"/>
  <c r="O236" i="1"/>
  <c r="P235" i="1"/>
  <c r="O235" i="1"/>
  <c r="P234" i="1"/>
  <c r="O234" i="1"/>
  <c r="P233" i="1"/>
  <c r="O233" i="1"/>
  <c r="P232" i="1"/>
  <c r="O232" i="1"/>
  <c r="P231" i="1"/>
  <c r="O231" i="1"/>
  <c r="P230" i="1"/>
  <c r="O230" i="1"/>
  <c r="P229" i="1"/>
  <c r="O229" i="1"/>
  <c r="P228" i="1"/>
  <c r="O228" i="1"/>
  <c r="P227" i="1"/>
  <c r="O227" i="1"/>
  <c r="P226" i="1"/>
  <c r="O226" i="1"/>
  <c r="P225" i="1"/>
  <c r="O225" i="1"/>
  <c r="P224" i="1"/>
  <c r="O224" i="1"/>
  <c r="P223" i="1"/>
  <c r="O223" i="1"/>
  <c r="P222" i="1"/>
  <c r="O222" i="1"/>
  <c r="P221" i="1"/>
  <c r="O221" i="1"/>
  <c r="P220" i="1"/>
  <c r="O220" i="1"/>
  <c r="P219" i="1"/>
  <c r="O219" i="1"/>
  <c r="P218" i="1"/>
  <c r="O218" i="1"/>
  <c r="P217" i="1"/>
  <c r="O217" i="1"/>
  <c r="P216" i="1"/>
  <c r="O216" i="1"/>
  <c r="P215" i="1"/>
  <c r="O215" i="1"/>
  <c r="P214" i="1"/>
  <c r="O214" i="1"/>
  <c r="P213" i="1"/>
  <c r="O213" i="1"/>
  <c r="P212" i="1"/>
  <c r="O212" i="1"/>
  <c r="P211" i="1"/>
  <c r="O211" i="1"/>
  <c r="P210" i="1"/>
  <c r="O210" i="1"/>
  <c r="P209" i="1"/>
  <c r="O209" i="1"/>
  <c r="P208" i="1"/>
  <c r="O208" i="1"/>
  <c r="P207" i="1"/>
  <c r="O207" i="1"/>
  <c r="P206" i="1"/>
  <c r="O206" i="1"/>
  <c r="P205" i="1"/>
  <c r="O205" i="1"/>
  <c r="P204" i="1"/>
  <c r="O204" i="1"/>
  <c r="P203" i="1"/>
  <c r="O203" i="1"/>
  <c r="P202" i="1"/>
  <c r="O202" i="1"/>
  <c r="P201" i="1"/>
  <c r="O201" i="1"/>
  <c r="P200" i="1"/>
  <c r="O200" i="1"/>
  <c r="P199" i="1"/>
  <c r="O199" i="1"/>
  <c r="P198" i="1"/>
  <c r="O198" i="1"/>
  <c r="P197" i="1"/>
  <c r="O197" i="1"/>
  <c r="P196" i="1"/>
  <c r="O196" i="1"/>
  <c r="P195" i="1"/>
  <c r="O195" i="1"/>
  <c r="P194" i="1"/>
  <c r="O194" i="1"/>
  <c r="P193" i="1"/>
  <c r="O193" i="1"/>
  <c r="P192" i="1"/>
  <c r="O192" i="1"/>
  <c r="P191" i="1"/>
  <c r="O191" i="1"/>
  <c r="P190" i="1"/>
  <c r="O190" i="1"/>
  <c r="P189" i="1"/>
  <c r="O189" i="1"/>
  <c r="P188" i="1"/>
  <c r="O188" i="1"/>
  <c r="P187" i="1"/>
  <c r="O187" i="1"/>
  <c r="P186" i="1"/>
  <c r="O186" i="1"/>
  <c r="P185" i="1"/>
  <c r="O185" i="1"/>
  <c r="P184" i="1"/>
  <c r="O184" i="1"/>
  <c r="P183" i="1"/>
  <c r="O183" i="1"/>
  <c r="P182" i="1"/>
  <c r="O182" i="1"/>
  <c r="P181" i="1"/>
  <c r="O181" i="1"/>
  <c r="P180" i="1"/>
  <c r="O180" i="1"/>
  <c r="P179" i="1"/>
  <c r="O179" i="1"/>
  <c r="P178" i="1"/>
  <c r="O178" i="1"/>
  <c r="P177" i="1"/>
  <c r="O177" i="1"/>
  <c r="P176" i="1"/>
  <c r="O176" i="1"/>
  <c r="P175" i="1"/>
  <c r="O175" i="1"/>
  <c r="P174" i="1"/>
  <c r="O174" i="1"/>
  <c r="P173" i="1"/>
  <c r="O173" i="1"/>
  <c r="P172" i="1"/>
  <c r="O172" i="1"/>
  <c r="P171" i="1"/>
  <c r="O171" i="1"/>
  <c r="P170" i="1"/>
  <c r="O170" i="1"/>
  <c r="P169" i="1"/>
  <c r="O169" i="1"/>
  <c r="P168" i="1"/>
  <c r="O168" i="1"/>
  <c r="P167" i="1"/>
  <c r="O167" i="1"/>
  <c r="P166" i="1"/>
  <c r="O166" i="1"/>
  <c r="P165" i="1"/>
  <c r="O165" i="1"/>
  <c r="P164" i="1"/>
  <c r="O164" i="1"/>
  <c r="P163" i="1"/>
  <c r="O163" i="1"/>
  <c r="P162" i="1"/>
  <c r="O162" i="1"/>
  <c r="P161" i="1"/>
  <c r="O161" i="1"/>
  <c r="P160" i="1"/>
  <c r="O160" i="1"/>
  <c r="P159" i="1"/>
  <c r="O159" i="1"/>
  <c r="P158" i="1"/>
  <c r="O158" i="1"/>
  <c r="P157" i="1"/>
  <c r="O157" i="1"/>
  <c r="P156" i="1"/>
  <c r="O156" i="1"/>
  <c r="P155" i="1"/>
  <c r="O155" i="1"/>
  <c r="P154" i="1"/>
  <c r="O154" i="1"/>
  <c r="P153" i="1"/>
  <c r="O153" i="1"/>
  <c r="P152" i="1"/>
  <c r="O152" i="1"/>
  <c r="P151" i="1"/>
  <c r="O151" i="1"/>
  <c r="P150" i="1"/>
  <c r="O150" i="1"/>
  <c r="P149" i="1"/>
  <c r="O149" i="1"/>
  <c r="P148" i="1"/>
  <c r="O148" i="1"/>
  <c r="P147" i="1"/>
  <c r="O147" i="1"/>
  <c r="P146" i="1"/>
  <c r="O146" i="1"/>
  <c r="P145" i="1"/>
  <c r="O145" i="1"/>
  <c r="P144" i="1"/>
  <c r="O144" i="1"/>
  <c r="P143" i="1"/>
  <c r="O143" i="1"/>
  <c r="P142" i="1"/>
  <c r="O142" i="1"/>
  <c r="P141" i="1"/>
  <c r="O141" i="1"/>
  <c r="P140" i="1"/>
  <c r="O140" i="1"/>
  <c r="P139" i="1"/>
  <c r="O139" i="1"/>
  <c r="P138" i="1"/>
  <c r="O138" i="1"/>
  <c r="P137" i="1"/>
  <c r="O137" i="1"/>
  <c r="P136" i="1"/>
  <c r="O136" i="1"/>
  <c r="P135" i="1"/>
  <c r="O135" i="1"/>
  <c r="P134" i="1"/>
  <c r="O134" i="1"/>
  <c r="P133" i="1"/>
  <c r="O133" i="1"/>
  <c r="P132" i="1"/>
  <c r="O132" i="1"/>
  <c r="P131" i="1"/>
  <c r="O131" i="1"/>
  <c r="P130" i="1"/>
  <c r="O130" i="1"/>
  <c r="P129" i="1"/>
  <c r="O129" i="1"/>
  <c r="P128" i="1"/>
  <c r="O128" i="1"/>
  <c r="P127" i="1"/>
  <c r="O127" i="1"/>
  <c r="P126" i="1"/>
  <c r="O126" i="1"/>
  <c r="P125" i="1"/>
  <c r="O125" i="1"/>
  <c r="P124" i="1"/>
  <c r="O124" i="1"/>
  <c r="P123" i="1"/>
  <c r="O123" i="1"/>
  <c r="P122" i="1"/>
  <c r="O122" i="1"/>
  <c r="P121" i="1"/>
  <c r="O121" i="1"/>
  <c r="P120" i="1"/>
  <c r="O120" i="1"/>
  <c r="P119" i="1"/>
  <c r="O119" i="1"/>
  <c r="P118" i="1"/>
  <c r="O118" i="1"/>
  <c r="P117" i="1"/>
  <c r="O117" i="1"/>
  <c r="P116" i="1"/>
  <c r="O116" i="1"/>
  <c r="P115" i="1"/>
  <c r="O115" i="1"/>
  <c r="P114" i="1"/>
  <c r="O114" i="1"/>
  <c r="P113" i="1"/>
  <c r="O113" i="1"/>
  <c r="P112" i="1"/>
  <c r="O112" i="1"/>
  <c r="P111" i="1"/>
  <c r="O111" i="1"/>
  <c r="P110" i="1"/>
  <c r="O110" i="1"/>
  <c r="P109" i="1"/>
  <c r="O109" i="1"/>
  <c r="P108" i="1"/>
  <c r="O108" i="1"/>
  <c r="P107" i="1"/>
  <c r="O107" i="1"/>
  <c r="P106" i="1"/>
  <c r="O106" i="1"/>
  <c r="P105" i="1"/>
  <c r="O105" i="1"/>
  <c r="P104" i="1"/>
  <c r="O104" i="1"/>
  <c r="P103" i="1"/>
  <c r="O103" i="1"/>
  <c r="P102" i="1"/>
  <c r="O102" i="1"/>
  <c r="P101" i="1"/>
  <c r="O101" i="1"/>
  <c r="P100" i="1"/>
  <c r="O100" i="1"/>
  <c r="P99" i="1"/>
  <c r="O99" i="1"/>
  <c r="P98" i="1"/>
  <c r="O98" i="1"/>
  <c r="P97" i="1"/>
  <c r="O97" i="1"/>
  <c r="P96" i="1"/>
  <c r="O96" i="1"/>
  <c r="P95" i="1"/>
  <c r="O95" i="1"/>
  <c r="P94" i="1"/>
  <c r="O94" i="1"/>
  <c r="P93" i="1"/>
  <c r="O93" i="1"/>
  <c r="P92" i="1"/>
  <c r="O92" i="1"/>
  <c r="P91" i="1"/>
  <c r="O91" i="1"/>
  <c r="P90" i="1"/>
  <c r="O90" i="1"/>
  <c r="P89" i="1"/>
  <c r="O89" i="1"/>
  <c r="P88" i="1"/>
  <c r="O88" i="1"/>
  <c r="P87" i="1"/>
  <c r="O87" i="1"/>
  <c r="P86" i="1"/>
  <c r="O86" i="1"/>
  <c r="P85" i="1"/>
  <c r="O85" i="1"/>
  <c r="P84" i="1"/>
  <c r="O84" i="1"/>
  <c r="P83" i="1"/>
  <c r="O83" i="1"/>
  <c r="P82" i="1"/>
  <c r="O82" i="1"/>
  <c r="P81" i="1"/>
  <c r="O81" i="1"/>
  <c r="P80" i="1"/>
  <c r="O80" i="1"/>
  <c r="P79" i="1"/>
  <c r="O79" i="1"/>
  <c r="P78" i="1"/>
  <c r="O78" i="1"/>
  <c r="P77" i="1"/>
  <c r="O77" i="1"/>
  <c r="P76" i="1"/>
  <c r="O76" i="1"/>
  <c r="P75" i="1"/>
  <c r="O75" i="1"/>
  <c r="P74" i="1"/>
  <c r="O74" i="1"/>
  <c r="P73" i="1"/>
  <c r="O73" i="1"/>
  <c r="P72" i="1"/>
  <c r="O72" i="1"/>
  <c r="P71" i="1"/>
  <c r="O71" i="1"/>
  <c r="P70" i="1"/>
  <c r="O70" i="1"/>
  <c r="P69" i="1"/>
  <c r="O69" i="1"/>
  <c r="P68" i="1"/>
  <c r="O68" i="1"/>
  <c r="P67" i="1"/>
  <c r="O67" i="1"/>
  <c r="P66" i="1"/>
  <c r="O66" i="1"/>
  <c r="P65" i="1"/>
  <c r="O65" i="1"/>
  <c r="P64" i="1"/>
  <c r="O64" i="1"/>
  <c r="P63" i="1"/>
  <c r="O63" i="1"/>
  <c r="P62" i="1"/>
  <c r="O62" i="1"/>
  <c r="P61" i="1"/>
  <c r="O61" i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P6" i="1"/>
  <c r="O6" i="1"/>
  <c r="P5" i="1"/>
  <c r="O5" i="1"/>
  <c r="P4" i="1"/>
  <c r="O4" i="1"/>
  <c r="P3" i="1"/>
  <c r="O3" i="1"/>
  <c r="P2" i="1"/>
  <c r="O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<sst xmlns="http://schemas.openxmlformats.org/spreadsheetml/2006/main" count="8370" uniqueCount="2786">
  <si>
    <t>Prj_No</t>
  </si>
  <si>
    <t>DSCR_AR</t>
  </si>
  <si>
    <t>Prc</t>
  </si>
  <si>
    <t>Rsp_Tell</t>
  </si>
  <si>
    <t>BaldyaNum</t>
  </si>
  <si>
    <t>Addr_Ar</t>
  </si>
  <si>
    <t>REGN_NM</t>
  </si>
  <si>
    <t>emp_nm_ar</t>
  </si>
  <si>
    <t>Cntrl_ty</t>
  </si>
  <si>
    <t>Mdl</t>
  </si>
  <si>
    <t>Motr_Pwr</t>
  </si>
  <si>
    <t>Prts</t>
  </si>
  <si>
    <t>CurStrt_dt</t>
  </si>
  <si>
    <t>curend_dt</t>
  </si>
  <si>
    <t>M000095</t>
  </si>
  <si>
    <t>ورثة / جابر علي حسن الدواس</t>
  </si>
  <si>
    <t>60006319</t>
  </si>
  <si>
    <t>66553595 رقم الحارس</t>
  </si>
  <si>
    <t xml:space="preserve"> خيطان  قطعة 9  شارع 22  منزل 99 - الرقم الآلي 93963649</t>
  </si>
  <si>
    <t>خيطان</t>
  </si>
  <si>
    <t xml:space="preserve">منصور  سيد  عشماوي  سيد </t>
  </si>
  <si>
    <t>9</t>
  </si>
  <si>
    <t>سرعتين سموكي كبير</t>
  </si>
  <si>
    <t>الزاحم</t>
  </si>
  <si>
    <t xml:space="preserve">SICOR </t>
  </si>
  <si>
    <t>شامل قطع غيار</t>
  </si>
  <si>
    <t>M000096</t>
  </si>
  <si>
    <t>علي جابر علي حسن الدواس</t>
  </si>
  <si>
    <t>66600072</t>
  </si>
  <si>
    <t>خيطان -ق 9 - ش 22 - قسيمة 100 - الرقم الآلي 90543649</t>
  </si>
  <si>
    <t>M000098</t>
  </si>
  <si>
    <t>يوسف الشمري</t>
  </si>
  <si>
    <t>66217906</t>
  </si>
  <si>
    <t/>
  </si>
  <si>
    <t xml:space="preserve">  جابر الاحمد  قطعة 2  شارع 520  منزل 989 - الرقم الآلي 21273921</t>
  </si>
  <si>
    <t xml:space="preserve"> جابر الاحمد</t>
  </si>
  <si>
    <t>4</t>
  </si>
  <si>
    <t xml:space="preserve">سرعتين سموكي </t>
  </si>
  <si>
    <t>تجميع</t>
  </si>
  <si>
    <t>GEARS</t>
  </si>
  <si>
    <t>M000099</t>
  </si>
  <si>
    <t>ترحيب البسام</t>
  </si>
  <si>
    <t>99428894</t>
  </si>
  <si>
    <t xml:space="preserve">سعد العبد الله - ق 11 - ش 160 - م 12 - الرقم الآلي 18534975 </t>
  </si>
  <si>
    <t>سعد العبد الله</t>
  </si>
  <si>
    <t>ترحيب عبد المحسن محمد البسام</t>
  </si>
  <si>
    <t>كنترول ريليه</t>
  </si>
  <si>
    <t>حازم</t>
  </si>
  <si>
    <t>نوفا NUOVA MGT</t>
  </si>
  <si>
    <t>M000100</t>
  </si>
  <si>
    <t>صباح رواد الشمري</t>
  </si>
  <si>
    <t>99224044</t>
  </si>
  <si>
    <t>69641848 رقم الحارس</t>
  </si>
  <si>
    <t xml:space="preserve"> سعد العبد الله - ق 6 - ش 624 ــ م 47 - الرقم الآلي 17529568</t>
  </si>
  <si>
    <t>M000102</t>
  </si>
  <si>
    <t xml:space="preserve"> د / نايف حمد المطيري</t>
  </si>
  <si>
    <t>66168182</t>
  </si>
  <si>
    <t>50318411 رقم الحارس</t>
  </si>
  <si>
    <t>الفروانية - ق 5 - ش 5 - م 9 - الرقم الآلي 92990813</t>
  </si>
  <si>
    <t>الفروانية</t>
  </si>
  <si>
    <t>6</t>
  </si>
  <si>
    <t>سرعتين كاس</t>
  </si>
  <si>
    <t>ايطالي جير</t>
  </si>
  <si>
    <t>M000104</t>
  </si>
  <si>
    <t xml:space="preserve">علي حسن غلوم </t>
  </si>
  <si>
    <t>66565665</t>
  </si>
  <si>
    <t>مدينة جابر الاحمد ق 1 – ش 120 –م 678</t>
  </si>
  <si>
    <t>3</t>
  </si>
  <si>
    <t>M000105</t>
  </si>
  <si>
    <t xml:space="preserve">عبد العزيز خليفة </t>
  </si>
  <si>
    <t>99018402</t>
  </si>
  <si>
    <t>99169570</t>
  </si>
  <si>
    <t>الفروانية -ق 5  - شارع 5 -  عمارة رقم 213 - الرقم الآلي 90577515</t>
  </si>
  <si>
    <t>7</t>
  </si>
  <si>
    <t>M000106</t>
  </si>
  <si>
    <t>جميلة موسي ذياب</t>
  </si>
  <si>
    <t>67090979</t>
  </si>
  <si>
    <t>الفروانية   ــ  ق 5 ــ  ش 5 ــ  عمارة 10- الرقم الآلي 90577486</t>
  </si>
  <si>
    <t>سرعتين سموكي صغير</t>
  </si>
  <si>
    <t>M000107</t>
  </si>
  <si>
    <t>ورثة / ناصر محمد البابطين</t>
  </si>
  <si>
    <t>97686957</t>
  </si>
  <si>
    <t>65754841 رقم الحارس</t>
  </si>
  <si>
    <t>حولي ـ ش 258 ( شارع بيروت ) بجوار بن العميد- الرقم الآلي 90214642</t>
  </si>
  <si>
    <t>حولي</t>
  </si>
  <si>
    <t>5</t>
  </si>
  <si>
    <t>السحاب</t>
  </si>
  <si>
    <t>مونتناري</t>
  </si>
  <si>
    <t>M000110</t>
  </si>
  <si>
    <t>شركة مشاريع الخليج العقارية</t>
  </si>
  <si>
    <t>50639366</t>
  </si>
  <si>
    <t>حولي - ق 3 –  ش 104  – قسيمة 10و11</t>
  </si>
  <si>
    <t>SICOR + NOUVA</t>
  </si>
  <si>
    <t>M000111</t>
  </si>
  <si>
    <t>الجمعية الكويتية للتواصل الحضاري</t>
  </si>
  <si>
    <t>94079777</t>
  </si>
  <si>
    <t>940794263</t>
  </si>
  <si>
    <t xml:space="preserve">الشهداء  - ق 4 –   ش 413 –  قسيمة67     </t>
  </si>
  <si>
    <t>الشهداء</t>
  </si>
  <si>
    <t>Mineral</t>
  </si>
  <si>
    <t>M000113</t>
  </si>
  <si>
    <t>دعيجة ارشيد الرشيدي</t>
  </si>
  <si>
    <t>50953666</t>
  </si>
  <si>
    <t>60044951 رقم الحارس</t>
  </si>
  <si>
    <t>اشبيلية -ق 2 ــ ش 226 ــ م 4 - الرقم الآلي 19140695</t>
  </si>
  <si>
    <t>اشبيلية</t>
  </si>
  <si>
    <t>M000114</t>
  </si>
  <si>
    <t>اشبيلية - ق 2 ــ ش 226 ــ م 2 - الرقم الآلي 19140521</t>
  </si>
  <si>
    <t>M000115</t>
  </si>
  <si>
    <t>محمد  جاسم محمد  البرجس</t>
  </si>
  <si>
    <t>99033144</t>
  </si>
  <si>
    <t>المباركية ـ ق 5 ــ ش 8 ــ بجوار اربش دهب</t>
  </si>
  <si>
    <t xml:space="preserve">الكويت </t>
  </si>
  <si>
    <t>THYSSEN</t>
  </si>
  <si>
    <t>M000116</t>
  </si>
  <si>
    <t>خالد الظفيري</t>
  </si>
  <si>
    <t>9964693</t>
  </si>
  <si>
    <t>51666435</t>
  </si>
  <si>
    <t>الفروانية - ق 1 - ش 90 - م 183 الرقم الالي 93609332</t>
  </si>
  <si>
    <t>10</t>
  </si>
  <si>
    <t>M000117</t>
  </si>
  <si>
    <t>شركة اولاد علي يوسف المزيني</t>
  </si>
  <si>
    <t>99174499</t>
  </si>
  <si>
    <t>66152419 رقم الحارس</t>
  </si>
  <si>
    <t xml:space="preserve"> الصليبخات - ق 3 - ش 114 - م 270 - الرقم الآلي 14135934</t>
  </si>
  <si>
    <t>الصليبخات</t>
  </si>
  <si>
    <t>FAYMESA</t>
  </si>
  <si>
    <t>M000118</t>
  </si>
  <si>
    <t xml:space="preserve">شركة نان العقارية </t>
  </si>
  <si>
    <t>55558305</t>
  </si>
  <si>
    <t>97150882 رقم الحارس</t>
  </si>
  <si>
    <t>السالمية -ق12 - شارع مساعد العازمي - قسائم 25و26و27و28 - الرقم الآلي 11656988</t>
  </si>
  <si>
    <t>السالمية</t>
  </si>
  <si>
    <t>M000119</t>
  </si>
  <si>
    <t xml:space="preserve">مؤسسة دسمان المتحدة </t>
  </si>
  <si>
    <t xml:space="preserve">67046701 </t>
  </si>
  <si>
    <t xml:space="preserve">   الصديق - ق 6 –  ش 617  – م  184</t>
  </si>
  <si>
    <t>الصديق</t>
  </si>
  <si>
    <t>الوطنية</t>
  </si>
  <si>
    <t>M000122</t>
  </si>
  <si>
    <t>منيرة سليمان الرهيماني</t>
  </si>
  <si>
    <t>97641238</t>
  </si>
  <si>
    <t>51032758 رقم الحارس</t>
  </si>
  <si>
    <t>خيطان - ق 9 - ش 25 - م 5 - الرقم الآلي 90544879</t>
  </si>
  <si>
    <t>البرتوساس</t>
  </si>
  <si>
    <t>M000124</t>
  </si>
  <si>
    <t>مشعل تركي موهج الشلاحي</t>
  </si>
  <si>
    <t>66777099</t>
  </si>
  <si>
    <t>50745851</t>
  </si>
  <si>
    <t>خيطان - ق 6 - ش 62 - م 18 - الرقم الآلي 90549258</t>
  </si>
  <si>
    <t>M000128</t>
  </si>
  <si>
    <t>خلف مسلم حمود العميرة</t>
  </si>
  <si>
    <t>96664004</t>
  </si>
  <si>
    <t xml:space="preserve">94458875- زين </t>
  </si>
  <si>
    <t>أبو حليفة  -  ق 3 - ش 1 - م 19 - الرقم الآلي 90896292</t>
  </si>
  <si>
    <t>ابو حليفة</t>
  </si>
  <si>
    <t>SIGMA</t>
  </si>
  <si>
    <t>M000132</t>
  </si>
  <si>
    <t>نوف ونجود النصر الله</t>
  </si>
  <si>
    <t>99118820</t>
  </si>
  <si>
    <t>60014738 شعبان</t>
  </si>
  <si>
    <t>السالمية ـــ ق 10 ــ  ش عيسي القطامي ـــ م 4 - قسيمه 74 - الرقم الآلي 92311462</t>
  </si>
  <si>
    <t>سرعتين سموكي مستر</t>
  </si>
  <si>
    <t>المضيان</t>
  </si>
  <si>
    <t>بريمو</t>
  </si>
  <si>
    <t>M000133</t>
  </si>
  <si>
    <t>ورثة / حزام الازينة</t>
  </si>
  <si>
    <t>99151693</t>
  </si>
  <si>
    <t>99192604 رقم الحارس</t>
  </si>
  <si>
    <t>السالمية ــ ق5 ــ ش 5 ــ م 18 - الرقم الآلي 90246011</t>
  </si>
  <si>
    <t>M000134</t>
  </si>
  <si>
    <t>عبد الوهاب سلمان الفوزان</t>
  </si>
  <si>
    <t>99454490</t>
  </si>
  <si>
    <t>السالمية ـــ ق 10 ــ ش 10 - شارع يوسف البدر ــ م 10- الرقم الآلي 15037578</t>
  </si>
  <si>
    <t>المتحدة</t>
  </si>
  <si>
    <t>اكسل</t>
  </si>
  <si>
    <t>M000135</t>
  </si>
  <si>
    <t>99454495 رقم الحارس</t>
  </si>
  <si>
    <t>السالمية - ق 10 ــ ش 10 ــــ م 10- عماره 14 - الرقم الآلي 15007547</t>
  </si>
  <si>
    <t>M000138</t>
  </si>
  <si>
    <t>عيسى المطيرى</t>
  </si>
  <si>
    <t>99991633</t>
  </si>
  <si>
    <t>60711059 رقم الحارس</t>
  </si>
  <si>
    <t>جليب الشيوخ - ق 5 ــ ش 59 ــ م 88 - الرقم الآلي 12924825</t>
  </si>
  <si>
    <t>جليب الشيوخ</t>
  </si>
  <si>
    <t>ايطالي</t>
  </si>
  <si>
    <t>M000139</t>
  </si>
  <si>
    <t>شركة دايركت كابيتل للتجارة العامة</t>
  </si>
  <si>
    <t>99818994</t>
  </si>
  <si>
    <t>98961154 رقم الحارس</t>
  </si>
  <si>
    <t>السالمية - ق 10 ــ ش 12 ــ م 5- جاده 4 - قسيمه 23 - الرقم الآلي 92838926</t>
  </si>
  <si>
    <t>M000140</t>
  </si>
  <si>
    <t>بدر الفيلكاوي</t>
  </si>
  <si>
    <t>66363330</t>
  </si>
  <si>
    <t>القيروان - ق 2 ـــ ش 201 ــ م 17</t>
  </si>
  <si>
    <t>القيروان</t>
  </si>
  <si>
    <t>Relay</t>
  </si>
  <si>
    <t>M000141</t>
  </si>
  <si>
    <t>فايز شديد المطيري</t>
  </si>
  <si>
    <t>97611148</t>
  </si>
  <si>
    <t>98795795 رقم الحارس</t>
  </si>
  <si>
    <t>سلوى - ق 4 ــــ ش 1 ـــ قسيمة 318 - الرقم الآلي 15892558</t>
  </si>
  <si>
    <t>سلوي</t>
  </si>
  <si>
    <t>M000142</t>
  </si>
  <si>
    <t>غازي الهادي الرشيدي</t>
  </si>
  <si>
    <t>99035741</t>
  </si>
  <si>
    <t>66814471</t>
  </si>
  <si>
    <t>خيطان - ق 9 ــ ش 33 ـــ م 7 - الرقم الآلي 91770587</t>
  </si>
  <si>
    <t>M000143</t>
  </si>
  <si>
    <t xml:space="preserve">نان العقارية </t>
  </si>
  <si>
    <t>97750959</t>
  </si>
  <si>
    <t>98541562 رقم الحارس</t>
  </si>
  <si>
    <t>الرقعي - ق 1 ـــ ش 12 ـــ قسيمة 9 - الرقم الآلي 19096874</t>
  </si>
  <si>
    <t>الرقعي</t>
  </si>
  <si>
    <t>8</t>
  </si>
  <si>
    <t>كنترول سموكي كبير + ريليه</t>
  </si>
  <si>
    <t>M000144</t>
  </si>
  <si>
    <t xml:space="preserve">محمد جاسم محمد البرجس </t>
  </si>
  <si>
    <t>66815780 رقم الحارس</t>
  </si>
  <si>
    <t>الفروانية- ق 4 ـــ ش 26-م 2- الرقم الآلي 92909448</t>
  </si>
  <si>
    <t>M000145</t>
  </si>
  <si>
    <t xml:space="preserve">عيد صالح عيد البرازي </t>
  </si>
  <si>
    <t>97131710</t>
  </si>
  <si>
    <t>50772845 رقم الحارس</t>
  </si>
  <si>
    <t xml:space="preserve"> الفروانية – ق 5 ـــ ش 8 ــ م 10 - الرقم الآلي 90577822</t>
  </si>
  <si>
    <t>M000146</t>
  </si>
  <si>
    <t>علي جديان البغيلي</t>
  </si>
  <si>
    <t>97800082</t>
  </si>
  <si>
    <t>الفروانية - ق 5 ــ ش 76 - الرقم الآلي 92790141</t>
  </si>
  <si>
    <t>11</t>
  </si>
  <si>
    <t>M000147</t>
  </si>
  <si>
    <t>96042853 رقم الحارس</t>
  </si>
  <si>
    <t>جليب الشيوخ - ق 4 ـــ ش 5 - الرقم الآلي 93310736</t>
  </si>
  <si>
    <t>M000148</t>
  </si>
  <si>
    <t xml:space="preserve">يوسف ناصر عبدالوهاب المعيلي </t>
  </si>
  <si>
    <t>99404952</t>
  </si>
  <si>
    <t>66640933 رقم الحارس</t>
  </si>
  <si>
    <t>الفروانية -ق 5 ـــ شارع 44 قسيمة 12 - الرقم الآلي 93306446</t>
  </si>
  <si>
    <t>M000150</t>
  </si>
  <si>
    <t>المستشار كامل العميري</t>
  </si>
  <si>
    <t>جليب الشيوخ - ق 4ــ ش 6ـــ م 91- الرقم الآلي 93985485</t>
  </si>
  <si>
    <t xml:space="preserve">سيام </t>
  </si>
  <si>
    <t>M000152</t>
  </si>
  <si>
    <t>محمد احمد العميري</t>
  </si>
  <si>
    <t>العباسية - ق 4 ـــ ش 6 ــــ م 16 - الرقم الآلي 18847189</t>
  </si>
  <si>
    <t>M000153</t>
  </si>
  <si>
    <t xml:space="preserve">فهد محمد المرشاد </t>
  </si>
  <si>
    <t>99086667</t>
  </si>
  <si>
    <t>66022344 رقم الحارس</t>
  </si>
  <si>
    <t>الرابية - ق 4 ـــ ش 5 ـــ م 62 , 64 , 66 - الرقم الآلي 16949691</t>
  </si>
  <si>
    <t>الرابية</t>
  </si>
  <si>
    <t>M000154</t>
  </si>
  <si>
    <t>شركة البيت العتيق</t>
  </si>
  <si>
    <t>55168214</t>
  </si>
  <si>
    <t>66902526 رقم الحارس</t>
  </si>
  <si>
    <t>جليب الشيوخ -العباسية - ق 4 ـــ ش 30 ـــ م 28 - الرقم الآلي 93538191</t>
  </si>
  <si>
    <t>M000155</t>
  </si>
  <si>
    <t>ناصر عبد الله المرشاد</t>
  </si>
  <si>
    <t>55558105</t>
  </si>
  <si>
    <t>اشبيلية - ق 1 ـــ ش 116 ــ م 6</t>
  </si>
  <si>
    <t>M000157</t>
  </si>
  <si>
    <t>الشيخ / بدر سالم الصباح</t>
  </si>
  <si>
    <t>99303055</t>
  </si>
  <si>
    <t>السرة - ق 5 ــ ش 3 ـــ م 61 - الرقم الآلي 15174249</t>
  </si>
  <si>
    <t>السرة</t>
  </si>
  <si>
    <t>HYDRAULIC - ELECOMP</t>
  </si>
  <si>
    <t>M000158</t>
  </si>
  <si>
    <t xml:space="preserve"> امير القطان /  شركة  - كان 203</t>
  </si>
  <si>
    <t>99790818</t>
  </si>
  <si>
    <t>مكتب الشركة  –   الشويخ – ش البنوك  -  قسيمة 44،46 - الرقم الآلي 90131919</t>
  </si>
  <si>
    <t>الشويخ</t>
  </si>
  <si>
    <t>VVVF</t>
  </si>
  <si>
    <t>معرفي</t>
  </si>
  <si>
    <t>غير شامل قطع غيار</t>
  </si>
  <si>
    <t>M000160</t>
  </si>
  <si>
    <t xml:space="preserve">يوسف محمود  مذكوري </t>
  </si>
  <si>
    <t>97423858</t>
  </si>
  <si>
    <t>97423858 رقم الحارس</t>
  </si>
  <si>
    <t>بنيد القار - ق 1 ـــ ش 87 - الرقم الآلي 92341039</t>
  </si>
  <si>
    <t>بنيد القار</t>
  </si>
  <si>
    <t>M000161</t>
  </si>
  <si>
    <t xml:space="preserve">أنور علي ملا أحمد الملا </t>
  </si>
  <si>
    <t>50888751</t>
  </si>
  <si>
    <t>98944864 رقم الحارس</t>
  </si>
  <si>
    <t>بنيد القار/ ق 1 ـــ ش 80 - قسيمة 166 - الالي 90035679</t>
  </si>
  <si>
    <t>M000162</t>
  </si>
  <si>
    <t>منى خليل الحمر</t>
  </si>
  <si>
    <t>97965240</t>
  </si>
  <si>
    <t>97965270 رقم الحارس</t>
  </si>
  <si>
    <t>حولي - ق 9 ــ ش 242 - الرقم الآلي 16562948</t>
  </si>
  <si>
    <t xml:space="preserve">اورونا </t>
  </si>
  <si>
    <t>M000164</t>
  </si>
  <si>
    <t>67075719 رقم الحارس</t>
  </si>
  <si>
    <t>الفنطاس - ق 2 - ش 17 - م 9 - الرقم الآلي 13378029</t>
  </si>
  <si>
    <t>الفنطاس</t>
  </si>
  <si>
    <t>Otis</t>
  </si>
  <si>
    <t>اوتيس</t>
  </si>
  <si>
    <t>OTIS</t>
  </si>
  <si>
    <t>M000165</t>
  </si>
  <si>
    <t>عبدالله عيد مصبح العازمي</t>
  </si>
  <si>
    <t>971124331</t>
  </si>
  <si>
    <t>الفحيحيل - ق 8 - ش مطلق العدواني - م 47 ( عقار رقم 28 )</t>
  </si>
  <si>
    <t>الفحاحيل</t>
  </si>
  <si>
    <t>M000167</t>
  </si>
  <si>
    <t>الشيخ / دعيج خليفة الصباح</t>
  </si>
  <si>
    <t>66585555</t>
  </si>
  <si>
    <t>97784876 رقم الحارس</t>
  </si>
  <si>
    <t>الجابرية - ق 11 ـــ ش 1 ـــ م 7 - الرقم الآلي 15817427</t>
  </si>
  <si>
    <t>الجابرية</t>
  </si>
  <si>
    <t>M000168</t>
  </si>
  <si>
    <t xml:space="preserve">دينا عدنان خليل الحمر </t>
  </si>
  <si>
    <t>98884983</t>
  </si>
  <si>
    <t>الجابرية - ق10 ـــ ش 8 ـــ م 6 A - الرقم الآلي 14906065</t>
  </si>
  <si>
    <t>M000170</t>
  </si>
  <si>
    <t xml:space="preserve">احمد عبد الله النجدي </t>
  </si>
  <si>
    <t>66401480 -الحارس نوح</t>
  </si>
  <si>
    <t>الحارس 6656648</t>
  </si>
  <si>
    <t>الفروانية - ق 4 ـــ ش 114 ـــ م 34 - الرقم الآلي 90575114</t>
  </si>
  <si>
    <t>أحمد عبد الله النجدي</t>
  </si>
  <si>
    <t>M000171</t>
  </si>
  <si>
    <t xml:space="preserve">دكتور / نايف حمد المطيري </t>
  </si>
  <si>
    <t xml:space="preserve"> الفروانية - ق 2 ـــ ش 131 ـــ قسيمة 24 - الرقم الآلي 90569865</t>
  </si>
  <si>
    <t>M000173</t>
  </si>
  <si>
    <t>يوسف عبد الله المقاطع</t>
  </si>
  <si>
    <t>67608458 رقم الحارس</t>
  </si>
  <si>
    <t>حولي - ق 7 ــــ ش 316 - م 23</t>
  </si>
  <si>
    <t>BONEX</t>
  </si>
  <si>
    <t>M000175</t>
  </si>
  <si>
    <t>لولوه ابراهيم احمد بن غريب</t>
  </si>
  <si>
    <t>99391929</t>
  </si>
  <si>
    <t>99391929 رقم الحارس</t>
  </si>
  <si>
    <t>الفروانية  ـــ ق 1 ـــ ش 84 ـــ م 71 - الرقم الآلي 93959797</t>
  </si>
  <si>
    <t>M000176</t>
  </si>
  <si>
    <t>97650677</t>
  </si>
  <si>
    <t>97171003 رقم الحارس</t>
  </si>
  <si>
    <t>حولي - ق 9 - ش سراقة ابن مالك - الرقم الآلي 90218889</t>
  </si>
  <si>
    <t>M000180</t>
  </si>
  <si>
    <t>65626344 رقم الحارس</t>
  </si>
  <si>
    <t>حولي - ق 11 - م 10 - بجوار نادي القادسية - الرقم الآلي 92731838</t>
  </si>
  <si>
    <t xml:space="preserve">الوطنية D- type </t>
  </si>
  <si>
    <t>M000181</t>
  </si>
  <si>
    <t>66241318</t>
  </si>
  <si>
    <t>حولي - ش ابن خلدون - امام جراج العثمان - الرقم الآلي 90205279</t>
  </si>
  <si>
    <t>M000182</t>
  </si>
  <si>
    <t>66398556 رقم الحارس</t>
  </si>
  <si>
    <t>حولي -ش تونس - امام فرع الغاز- الرقم الآلي 92630973</t>
  </si>
  <si>
    <t>M000184</t>
  </si>
  <si>
    <t>عبد المحسن المهنا</t>
  </si>
  <si>
    <t>98897113</t>
  </si>
  <si>
    <t>حولي - ق 1 ــ ش/ شرحبيل ـــ م 89 - الرقم الآلي 90219056</t>
  </si>
  <si>
    <t>سيام</t>
  </si>
  <si>
    <t>M000185</t>
  </si>
  <si>
    <t>67046701</t>
  </si>
  <si>
    <t>الشعب البحري - ق 8 ــ ش 89 ـــ م 104 الرقم الالي 93072336</t>
  </si>
  <si>
    <t>الشعب البحري</t>
  </si>
  <si>
    <t>QUADRO</t>
  </si>
  <si>
    <t>M000186</t>
  </si>
  <si>
    <t>99884247</t>
  </si>
  <si>
    <t xml:space="preserve">الرقم الالي 66680976- حولي - قطعة 1 - شارع 28 - منزل B5 </t>
  </si>
  <si>
    <t>M000189</t>
  </si>
  <si>
    <t>عهود محمد الحسيني</t>
  </si>
  <si>
    <t>96777154</t>
  </si>
  <si>
    <t>صباح السالم - ق 4 ـــ ش 17 ـــ م 28 - الالي 16764443</t>
  </si>
  <si>
    <t>صباح السالم</t>
  </si>
  <si>
    <t>M000190</t>
  </si>
  <si>
    <t>د / جاسم محمد اشكناني</t>
  </si>
  <si>
    <t>508822223</t>
  </si>
  <si>
    <t>الرميثية - ق 2 ـــ ش 23 ـــ م 18 B - الرقم الآلي 16957683</t>
  </si>
  <si>
    <t>الرميثية</t>
  </si>
  <si>
    <t>M000191</t>
  </si>
  <si>
    <t>97965270</t>
  </si>
  <si>
    <t>سلوى - ق 2 ـــ ش 9 ـــ م 242 / 8 / 1 - الرقم الآلي 16942473</t>
  </si>
  <si>
    <t>M000193</t>
  </si>
  <si>
    <t>عبدالعزيز فهد الراشد</t>
  </si>
  <si>
    <t>65534941</t>
  </si>
  <si>
    <t>50457756 رقم الحارس</t>
  </si>
  <si>
    <t>السالمية - ق 12  ــ ش ابو هريرة –  م  26 -ش 3 - جاده 7 - الرقم الآلي 20407895</t>
  </si>
  <si>
    <t>ORONA</t>
  </si>
  <si>
    <t>اورونا</t>
  </si>
  <si>
    <t>M000194</t>
  </si>
  <si>
    <t>أسامة عدنان خليل الحمر</t>
  </si>
  <si>
    <t>99741976</t>
  </si>
  <si>
    <t>الرميثية - ق 5 - ش 57 - م 15  - 11754537</t>
  </si>
  <si>
    <t>M000195</t>
  </si>
  <si>
    <t>66168186</t>
  </si>
  <si>
    <t>99435749 رقم الحارس</t>
  </si>
  <si>
    <t>جليب الشيوخ - ق4- شارع 4 - الرقم الآلي 90707949</t>
  </si>
  <si>
    <t>GEARLED/EKER</t>
  </si>
  <si>
    <t>M000196</t>
  </si>
  <si>
    <t>نبيل عبدالله المسلم</t>
  </si>
  <si>
    <t>50442707</t>
  </si>
  <si>
    <t xml:space="preserve">الفروانية - ق 1 ـــ ش 86 - قسيمة 95 الرقم الالي 93915487 </t>
  </si>
  <si>
    <t>MAF</t>
  </si>
  <si>
    <t>M000201</t>
  </si>
  <si>
    <t>فوزان محمد عبد الله الفارس</t>
  </si>
  <si>
    <t>99613323</t>
  </si>
  <si>
    <t>الجابرية - ق 3أ - ش7 م31- الرقم الآلي 90506776</t>
  </si>
  <si>
    <t>M000202</t>
  </si>
  <si>
    <t>محمد جاسم محمد البرجس</t>
  </si>
  <si>
    <t>الشامية - ق 3 ـــ ش يوسف إبراهيم الغانم -ش 35 ــ م 7</t>
  </si>
  <si>
    <t xml:space="preserve">الشامية </t>
  </si>
  <si>
    <t>SASSI</t>
  </si>
  <si>
    <t>M000204</t>
  </si>
  <si>
    <t>ورثة المرحوم /احمد جاسم القضيبي</t>
  </si>
  <si>
    <t>9799678</t>
  </si>
  <si>
    <t>النزهة -  ش عبد الرحمن عبد الوهب ــ ق 3 ـــ م 14</t>
  </si>
  <si>
    <t>النزهه</t>
  </si>
  <si>
    <t>ورثة / احمد جاسم القضيبي</t>
  </si>
  <si>
    <t>ارفلون</t>
  </si>
  <si>
    <t>M000206</t>
  </si>
  <si>
    <t>ورثة / فهد العميرة</t>
  </si>
  <si>
    <t>50522029</t>
  </si>
  <si>
    <t xml:space="preserve">القادسية- ق 7 ـــ ش 77 ــ م 10 الرقم الالي 10434347 </t>
  </si>
  <si>
    <t>القادسية</t>
  </si>
  <si>
    <t>M000207</t>
  </si>
  <si>
    <t>ناصر فيصل القطان</t>
  </si>
  <si>
    <t>99878187</t>
  </si>
  <si>
    <t>ق 1 ـــ ش 10 ـــ م 16 - الرقم الآلي 10333853</t>
  </si>
  <si>
    <t>المنصورية</t>
  </si>
  <si>
    <t>M000208</t>
  </si>
  <si>
    <t xml:space="preserve">شركة الاحجار الكريمة للتجارة العامة </t>
  </si>
  <si>
    <t>99622809</t>
  </si>
  <si>
    <t>99622809 رقم الحارس</t>
  </si>
  <si>
    <t>خيطان ـ ق 4 ــ ش 102 ــ م 88 - الرقم الآلي 92584793</t>
  </si>
  <si>
    <t>M000209</t>
  </si>
  <si>
    <t>97763670</t>
  </si>
  <si>
    <t>خيطان القديم ــ ق 8 ـــ ش 76- الرقم الآلي 12281479</t>
  </si>
  <si>
    <t>M000210</t>
  </si>
  <si>
    <t xml:space="preserve"> منيرة سليمان الرهيماني</t>
  </si>
  <si>
    <t>96011509 رقم الحارس</t>
  </si>
  <si>
    <t>خيطان ـ ق 8 ــ شارع مسقط - قسيمة 6 - الرقم الآلي 90547703</t>
  </si>
  <si>
    <t>هيتاشي</t>
  </si>
  <si>
    <t>M000211</t>
  </si>
  <si>
    <t xml:space="preserve"> فضة زيد فهد الكحيلان</t>
  </si>
  <si>
    <t>66702735</t>
  </si>
  <si>
    <t>خيطان - ق9 ـــ ش 25 ـــ الرقم الآلي 92907995</t>
  </si>
  <si>
    <t>فضة زيد فهد الكحيلان</t>
  </si>
  <si>
    <t>M000212</t>
  </si>
  <si>
    <t>99378284 رقم الحارس</t>
  </si>
  <si>
    <t>خيطان - ق 9 ـــ ش 25 ـــ قسيمة 25 - الرقم الآلي 93031112</t>
  </si>
  <si>
    <t>D type</t>
  </si>
  <si>
    <t>M000214</t>
  </si>
  <si>
    <t>50478788 رقم الحارس</t>
  </si>
  <si>
    <t>السالمية  ـــ ق 10 ـــ ش 2 ـــ ج 1 ـــ قسائم 28&amp;29&amp;30 - الآلي 92565307- 92565374</t>
  </si>
  <si>
    <t>عبد السلام شعيب</t>
  </si>
  <si>
    <t>فيصل الملا</t>
  </si>
  <si>
    <t>M000215</t>
  </si>
  <si>
    <t>55257023 رقم الحارس</t>
  </si>
  <si>
    <t>خيطان - ق 7 ــ ش 79 - الرقم الآلي 90546057</t>
  </si>
  <si>
    <t>M000216</t>
  </si>
  <si>
    <t>97999678</t>
  </si>
  <si>
    <t>55946988 رقم الحارس</t>
  </si>
  <si>
    <t>سلوى –   ق 7   –  ش 5  –   م 158 - الرقم الآلي 16943556</t>
  </si>
  <si>
    <t>M000217</t>
  </si>
  <si>
    <t>مفيدة عبد الرحمن الزيد</t>
  </si>
  <si>
    <t>55142059</t>
  </si>
  <si>
    <t>66580706 رقم الحارس</t>
  </si>
  <si>
    <t>السالمية ش المغيرة بن شعبة ــ ق 9 ــ ش 1ــ م 96 - الرقم الآلي 19119968</t>
  </si>
  <si>
    <t>ايطالي جير + مونتناري</t>
  </si>
  <si>
    <t>M000218</t>
  </si>
  <si>
    <t xml:space="preserve">خالد حمود عبدالعزيز المقهوي </t>
  </si>
  <si>
    <t>92253219</t>
  </si>
  <si>
    <t>99971754 رقم الحارس</t>
  </si>
  <si>
    <t xml:space="preserve">  السالمية -  قطعة رقم 9 - شارع المغيرة بن شعبة  م 106 - الرقم الالي 93011912</t>
  </si>
  <si>
    <t>M000219</t>
  </si>
  <si>
    <t>ورثة المرحوم / محمد حبيب البدر</t>
  </si>
  <si>
    <t>51044444</t>
  </si>
  <si>
    <t xml:space="preserve">القادسية - ش يوسف عبد الوهاب العدساني ـ ق 8 ــ م 64 الرقم الالي 10439359 </t>
  </si>
  <si>
    <t>M000220</t>
  </si>
  <si>
    <t xml:space="preserve">القادسية - ش يوسف عبد الوهاب العدساني ـ ق 8 ــ م 65 الرقم الالي 10439359 </t>
  </si>
  <si>
    <t>M000221</t>
  </si>
  <si>
    <t>مساعد عبد الله العصيمي</t>
  </si>
  <si>
    <t>99790002</t>
  </si>
  <si>
    <t xml:space="preserve">القادسية - ق6 ــ ش 61 ــ م 12 الرقم الالي 14616316 </t>
  </si>
  <si>
    <t>M000222</t>
  </si>
  <si>
    <t>وليد الحساوي</t>
  </si>
  <si>
    <t>66869545</t>
  </si>
  <si>
    <t xml:space="preserve">الشهداء - ق4 ــ ش 408 ــ م 10 الرقم الالي 15799361 </t>
  </si>
  <si>
    <t>Radem</t>
  </si>
  <si>
    <t>M000224</t>
  </si>
  <si>
    <t xml:space="preserve">شركة الاستراحات الكويتية للتجارة العامه </t>
  </si>
  <si>
    <t>99721053</t>
  </si>
  <si>
    <t>الفحيحيل -ق 10 - شارع الاحنف بن قيس - قسيمه 4268 -الرقم الالي 92501397</t>
  </si>
  <si>
    <t>M000225</t>
  </si>
  <si>
    <t>محمد راشد الرميضي</t>
  </si>
  <si>
    <t>99208880</t>
  </si>
  <si>
    <t>المنقف - ق 4 ــ ش 35ــ م 37 - الرقم الآلي 19184794</t>
  </si>
  <si>
    <t>المنقف</t>
  </si>
  <si>
    <t>SICOR</t>
  </si>
  <si>
    <t>M000226</t>
  </si>
  <si>
    <t xml:space="preserve">ورثة المرحوم / عدنان الحمر </t>
  </si>
  <si>
    <t>94033370</t>
  </si>
  <si>
    <t>الفنطاس  ـــ ق  3  ـــ ش  4   ــ  م 17 - الرقم الآلي 91826552</t>
  </si>
  <si>
    <t>M000228</t>
  </si>
  <si>
    <t>99648208</t>
  </si>
  <si>
    <t xml:space="preserve">الفروانية ـ ق 1 ــ ش 76 ــ بقالة عجايب  الرقم الالي 92390797 </t>
  </si>
  <si>
    <t>M000230</t>
  </si>
  <si>
    <t>51785605 رقم الحارس</t>
  </si>
  <si>
    <t>المنقف - ق 5 - ش سالم الصباح - قسيمة 25 - م 8</t>
  </si>
  <si>
    <t>شنيدر</t>
  </si>
  <si>
    <t>M000231</t>
  </si>
  <si>
    <t xml:space="preserve">جمعية الشيخ عبدالله النوري الخيرية </t>
  </si>
  <si>
    <t>99001231</t>
  </si>
  <si>
    <t>90014345</t>
  </si>
  <si>
    <t>ابو حليفة - ق1ــ ش 1 ـــ م 6 - الرقم الآلي 92782117</t>
  </si>
  <si>
    <t>M000232</t>
  </si>
  <si>
    <t xml:space="preserve">شركة نوري الصناعية </t>
  </si>
  <si>
    <t>94104310 رقم الحارس</t>
  </si>
  <si>
    <t>العارضية – ق 2- قسيمة 86ـــ المخازن - الرقم الآلي 92394114</t>
  </si>
  <si>
    <t>العارضية</t>
  </si>
  <si>
    <t xml:space="preserve">شركة مؤسسة نوري الصناعية </t>
  </si>
  <si>
    <t>2</t>
  </si>
  <si>
    <t>HYDRAULIC</t>
  </si>
  <si>
    <t xml:space="preserve">ماكينة ضخ هيدروليك حمولة 2 طن </t>
  </si>
  <si>
    <t>M000233</t>
  </si>
  <si>
    <t xml:space="preserve">حمود جديان البغيلي </t>
  </si>
  <si>
    <t xml:space="preserve">اشبيلية - ق 4 ــ ش 445 ــ م 36 </t>
  </si>
  <si>
    <t xml:space="preserve">سرعتين </t>
  </si>
  <si>
    <t>ATLAS</t>
  </si>
  <si>
    <t>M000234</t>
  </si>
  <si>
    <t xml:space="preserve">ديوان أولاد جديان البغيلي                                </t>
  </si>
  <si>
    <t>اشبيلية - ق 4 ــ ش 445 ــ م 39</t>
  </si>
  <si>
    <t>M000235</t>
  </si>
  <si>
    <t xml:space="preserve">عبد العزيز جديان البغيلي </t>
  </si>
  <si>
    <t>اشبيلية - ق 4 ــ ش 445 ــ م 40</t>
  </si>
  <si>
    <t>M000236</t>
  </si>
  <si>
    <t xml:space="preserve">ورثة / خالد جديان البغيلي </t>
  </si>
  <si>
    <t xml:space="preserve">اشبيلية - ق 4 ــ ش 445 ــ م 28 </t>
  </si>
  <si>
    <t>M000237</t>
  </si>
  <si>
    <t xml:space="preserve">فيصل جديان البغيلي </t>
  </si>
  <si>
    <t>اشبيلية - ق 4 ــ ش 445 ــ م 42</t>
  </si>
  <si>
    <t>M000238</t>
  </si>
  <si>
    <t>مبارك جديان البغيلي</t>
  </si>
  <si>
    <t>اشبيلية - ق 4 ــ ش 445 ــ م 43</t>
  </si>
  <si>
    <t>M000239</t>
  </si>
  <si>
    <t>جبر جاسم الغانم</t>
  </si>
  <si>
    <t>60000243</t>
  </si>
  <si>
    <t>99463956</t>
  </si>
  <si>
    <t xml:space="preserve">المنقف - ق 4 ـــ ش 21 ــ م 184 الرقم الالي 92396099 </t>
  </si>
  <si>
    <t>M000240</t>
  </si>
  <si>
    <t>نواف جديان البغيلي</t>
  </si>
  <si>
    <t xml:space="preserve">اشبيلية - ق 4 ــ ش 445 ــ م 52 </t>
  </si>
  <si>
    <t>M000242</t>
  </si>
  <si>
    <t>رقية عبد الرحمن القطامي</t>
  </si>
  <si>
    <t>66574371 رقم الحارس</t>
  </si>
  <si>
    <t>الفحيحيل–   ق 8 –  ش 37  – م  35 - الرقم الآلي 92276089</t>
  </si>
  <si>
    <t>M000243</t>
  </si>
  <si>
    <t>شركة فود شويس للتجارة العامة والمقاولات</t>
  </si>
  <si>
    <t>96644525</t>
  </si>
  <si>
    <t>العارضية الصناعية - ق2 - بجوار الزاحم - الرقم الآلي 93320969</t>
  </si>
  <si>
    <t>منتصر بالله  علي  سيد  علي  نصيب</t>
  </si>
  <si>
    <t xml:space="preserve">كنترول هيدروليك </t>
  </si>
  <si>
    <t>M000244</t>
  </si>
  <si>
    <t>صالح ابراهيم البحراني</t>
  </si>
  <si>
    <t>66220528</t>
  </si>
  <si>
    <t>السالمية - ق 10 ــ ش 11 ـــ م 19 - الرقم الآلي 90264156</t>
  </si>
  <si>
    <t>M000245</t>
  </si>
  <si>
    <t>ثلث المرحوم خليل عباس الحمر</t>
  </si>
  <si>
    <t>98955696 رقم الحارس</t>
  </si>
  <si>
    <t>السالمية - ق 10 ــ ش 12 - م 28 الرقم الآلي 90264623</t>
  </si>
  <si>
    <t>M000248</t>
  </si>
  <si>
    <t>الفروانية -دوار المخفر - بجوار المسجد ـ ق 3/الفروانية – ق39 – قسيمة 14- الرقم الآلي 91549372</t>
  </si>
  <si>
    <t>سيكور + مونتناري</t>
  </si>
  <si>
    <t>M000250</t>
  </si>
  <si>
    <t>سعد مرضي الاذينة</t>
  </si>
  <si>
    <t>97558956</t>
  </si>
  <si>
    <t xml:space="preserve">الفروانية -ق 1 ــ ش 71 ــ م 6 الرقم الالي 92509049 </t>
  </si>
  <si>
    <t>M000251</t>
  </si>
  <si>
    <t>ورثة جابر علي حسن الدواس</t>
  </si>
  <si>
    <t>50807190 رقم الحارس</t>
  </si>
  <si>
    <t>الفروانية ـ ق 3 ــ ش 109 - الرقم الآلي- 93962769</t>
  </si>
  <si>
    <t>MODINA</t>
  </si>
  <si>
    <t>M000252</t>
  </si>
  <si>
    <t>55153105</t>
  </si>
  <si>
    <t>66220528 رقم الحارس</t>
  </si>
  <si>
    <t>السالمية - ش ابو هريرة  ق 12 ـ م 18 - الرقم الآلي 11581171</t>
  </si>
  <si>
    <t>M000253</t>
  </si>
  <si>
    <t>99470034</t>
  </si>
  <si>
    <t>66471429- 65579080</t>
  </si>
  <si>
    <t>الفروانية  ـــ ق  1  ـــ ش  84   ــ  م 7072الرقم الالي 94300927</t>
  </si>
  <si>
    <t>M000254</t>
  </si>
  <si>
    <t xml:space="preserve">الشيخ مبارك بدر الصباح </t>
  </si>
  <si>
    <t>99653330</t>
  </si>
  <si>
    <t>سلوى - شارع المسجد الاقصى ـ ق 2 ــ ( م 1 A )</t>
  </si>
  <si>
    <t>M000255</t>
  </si>
  <si>
    <t>هاني علي البحراني</t>
  </si>
  <si>
    <t>99023916</t>
  </si>
  <si>
    <t>66362621</t>
  </si>
  <si>
    <t>الفروانية - ق 4 ــ ش 40 ــ م 170 /من شارع 118 الرقم الالي 90574912</t>
  </si>
  <si>
    <t>M000256</t>
  </si>
  <si>
    <t>9495240 رقم الحارس</t>
  </si>
  <si>
    <t>الفروانية - ق 1 ــ ش 126 ــ م 2- الرقم الآلي 93114233</t>
  </si>
  <si>
    <t>M000258</t>
  </si>
  <si>
    <t>نظام وزمان القناعي</t>
  </si>
  <si>
    <t>61112765</t>
  </si>
  <si>
    <t xml:space="preserve">سلوى - ق 2 ــ ش 100 ــ م 10 الرقم الالي 11837981 </t>
  </si>
  <si>
    <t>M000259</t>
  </si>
  <si>
    <t>ورثة / مبرك غنيم الحيص</t>
  </si>
  <si>
    <t>50233693</t>
  </si>
  <si>
    <t>سلوى - ق 5 ــ ش 7 ــ م 50 / شارع المتنبي - الرقم الآلي 11847127</t>
  </si>
  <si>
    <t>M000260</t>
  </si>
  <si>
    <t>66429694 رقم الحارس</t>
  </si>
  <si>
    <t>الفروانية - ق 5 ــ ش 42 ـــ اما عقد رقم 146 - الرقم الآلي 92306671</t>
  </si>
  <si>
    <t>M000261</t>
  </si>
  <si>
    <t xml:space="preserve">الفريق / علي المعيلي </t>
  </si>
  <si>
    <t>90996599</t>
  </si>
  <si>
    <t>99126214 رقم الحارس</t>
  </si>
  <si>
    <t>السالمية -ش ابو هريرة  مصبغة الطهارة جادة1  ـ ق 12 ـ م3 - الرقم الآلي 14888602</t>
  </si>
  <si>
    <t>M000263</t>
  </si>
  <si>
    <t>99490953- سلامه - 95554111</t>
  </si>
  <si>
    <t>الفروانية - ق 3 ــ ش 109 ــ بجوار البنشر - الرقم الآلي 90573223</t>
  </si>
  <si>
    <t>M000265</t>
  </si>
  <si>
    <t xml:space="preserve"> الفريق / علي المعيلي </t>
  </si>
  <si>
    <t>99126212 رقم الحارس</t>
  </si>
  <si>
    <t>السالمية – ق 12 – ش ابو هريرة – ب 3 - الرقم الآلي 14888602</t>
  </si>
  <si>
    <t>M000266</t>
  </si>
  <si>
    <t>99299634 رقم الحارس</t>
  </si>
  <si>
    <t>الفروانية -طريق الغزالي ــ ق 6 ــ ش 3 عماره 24 - الرقم الآلي 90581741</t>
  </si>
  <si>
    <t>M000268</t>
  </si>
  <si>
    <t>عبد الوهاب الخالد</t>
  </si>
  <si>
    <t>97670678</t>
  </si>
  <si>
    <t>97607138</t>
  </si>
  <si>
    <t>العدان - ق 7 ــ ش 18 ــ م23 الرقم الالي 15098274</t>
  </si>
  <si>
    <t>العدان</t>
  </si>
  <si>
    <t>M000269</t>
  </si>
  <si>
    <t xml:space="preserve">حمود حمد الرومي </t>
  </si>
  <si>
    <t xml:space="preserve">BB2 حولي - ق 10 ــ ش 217 ــ م </t>
  </si>
  <si>
    <t>M000270</t>
  </si>
  <si>
    <t>66004881</t>
  </si>
  <si>
    <t>97667965 رقم الحارس</t>
  </si>
  <si>
    <t>حولي - ش موسي بن نصير - الرقم الآلي 92820443</t>
  </si>
  <si>
    <t>M000271</t>
  </si>
  <si>
    <t>شركة التشييد العقارية</t>
  </si>
  <si>
    <t>94992770</t>
  </si>
  <si>
    <t>99037664</t>
  </si>
  <si>
    <t xml:space="preserve">حولي - قطعه 79- شارع موسي بن النصير -منزل 18 الرقم الالي 93527871 </t>
  </si>
  <si>
    <t>M000272</t>
  </si>
  <si>
    <t xml:space="preserve">الجابرية -ق 6 ــ ش 3 ــ م 5 الرقم الالي 12155042 </t>
  </si>
  <si>
    <t>lift- kont</t>
  </si>
  <si>
    <t>M000273</t>
  </si>
  <si>
    <t>منيرة عبدالله سليمان المريخي</t>
  </si>
  <si>
    <t>99847221</t>
  </si>
  <si>
    <t>ق 5 ـــ ش 3 ـــ م 13</t>
  </si>
  <si>
    <t>M000274</t>
  </si>
  <si>
    <t xml:space="preserve">عيسي محمد العوضي </t>
  </si>
  <si>
    <t>60489005-99800821</t>
  </si>
  <si>
    <t>السرة - ق 6 ــــ ش 5 ـــ م ( 23 ب ) - الرقم الآلي 15572837</t>
  </si>
  <si>
    <t>كنترول سرعتين ريليه</t>
  </si>
  <si>
    <t>M000275</t>
  </si>
  <si>
    <t xml:space="preserve"> حمود حمد الرومي </t>
  </si>
  <si>
    <t>50664414</t>
  </si>
  <si>
    <t>99903980</t>
  </si>
  <si>
    <t xml:space="preserve">النزهة  -ق 3 - ش 34 - م 33 + 1 </t>
  </si>
  <si>
    <t>M000276</t>
  </si>
  <si>
    <t>فهد عويض المانع</t>
  </si>
  <si>
    <t>99444125</t>
  </si>
  <si>
    <t>قرطبة ـ ق 3 ــ ش 2 ــ م 59</t>
  </si>
  <si>
    <t>قرطبة</t>
  </si>
  <si>
    <t>M000278</t>
  </si>
  <si>
    <t>الفريق / علي المعيلي - السرة</t>
  </si>
  <si>
    <t>السرة -خلف مدرسة البحر ـ ق 4 ــ ش 11 ــ م 18 - الرقم الآلي 15193837</t>
  </si>
  <si>
    <t>M000279</t>
  </si>
  <si>
    <t>سليمان منصور الحسين</t>
  </si>
  <si>
    <t>94441677</t>
  </si>
  <si>
    <t>الزهراء - ق 1 ــ ش 101 ــ م 76</t>
  </si>
  <si>
    <t>الزهراء</t>
  </si>
  <si>
    <t>M000281</t>
  </si>
  <si>
    <t>الشيخ / فيصل خليفة الصباح</t>
  </si>
  <si>
    <t>99800055</t>
  </si>
  <si>
    <t>الفنيطيس - طريق الفحاحيل ــ ش 46</t>
  </si>
  <si>
    <t>الفنيطيس</t>
  </si>
  <si>
    <t>M000282</t>
  </si>
  <si>
    <t xml:space="preserve">مصطفي حسين القطان </t>
  </si>
  <si>
    <t>52223804 رقم الحارس</t>
  </si>
  <si>
    <t>الفروانية - ق 1 ــ ش 84- قسيمه 40 - الرقم الآلي 93105425</t>
  </si>
  <si>
    <t>M000283</t>
  </si>
  <si>
    <t>اليرموك -  ق 4 ــ ش 5 - شارع احمد يوسف الثاقب  - قسيمه 60 -م 10- الرقم الآلي 16920768</t>
  </si>
  <si>
    <t>اليرموك</t>
  </si>
  <si>
    <t>M000284</t>
  </si>
  <si>
    <t>يوسف احمد الجسمي</t>
  </si>
  <si>
    <t>99023056</t>
  </si>
  <si>
    <t>اليرموك -  ق 3 ــ ش 2 - جاده 24 ــ م 2 - الرقم الآلي 12052852</t>
  </si>
  <si>
    <t>رفاج</t>
  </si>
  <si>
    <t>M000285</t>
  </si>
  <si>
    <t>سناء بوحمرا</t>
  </si>
  <si>
    <t>97103666</t>
  </si>
  <si>
    <t>اليرموك- ق 3 ــ ش 3 ــ م 17 - الرقم الآلي 15158476</t>
  </si>
  <si>
    <t>M000286</t>
  </si>
  <si>
    <t>99432037 رقم الحارس</t>
  </si>
  <si>
    <t>اليرموك - ق 4 - ش 5- قسيمه 60 - م 10 - الرقم الآلي 16920768</t>
  </si>
  <si>
    <t>M000288</t>
  </si>
  <si>
    <t>50782843 رقم الحارس</t>
  </si>
  <si>
    <t>السالمية - قطعه 10-شارع عمان -منزل 2 - الرقم الآلي 14852103</t>
  </si>
  <si>
    <t>M000289</t>
  </si>
  <si>
    <t xml:space="preserve">فهد سعدون محمد الركيبى               </t>
  </si>
  <si>
    <t>99398347</t>
  </si>
  <si>
    <t>اليرموك - ق 3 ــ ش 2 ــ م 80 - الرقم الآلي 15158724</t>
  </si>
  <si>
    <t>VITORIQ</t>
  </si>
  <si>
    <t>M000290</t>
  </si>
  <si>
    <t xml:space="preserve">ضيا يوسف  النصر الله             </t>
  </si>
  <si>
    <t>51309282</t>
  </si>
  <si>
    <t>55133041 رقم الحارس</t>
  </si>
  <si>
    <t xml:space="preserve">الجابرية - ق 7 ـــ ش 7 ـــ م 119 الرقم الالي 12159262 </t>
  </si>
  <si>
    <t>M000291</t>
  </si>
  <si>
    <t>سعد الخنفور</t>
  </si>
  <si>
    <t>66079348</t>
  </si>
  <si>
    <t>99463695 رقم الحارس</t>
  </si>
  <si>
    <t>الفروانية ـ ق 3 ــ ش 62 ــ م 19 الرقم الآلي 92389091</t>
  </si>
  <si>
    <t>M000292</t>
  </si>
  <si>
    <t>الفروانية -ق 3 ــ ش 112 ــ م 14 - الرقم الآلي 93070904</t>
  </si>
  <si>
    <t>M000294</t>
  </si>
  <si>
    <t>ورثة / محمد سعود الناجم</t>
  </si>
  <si>
    <t>99770005</t>
  </si>
  <si>
    <t>90069756</t>
  </si>
  <si>
    <t>العدان- ق 2 ــ ش 54 ــ م 22</t>
  </si>
  <si>
    <t>M000295</t>
  </si>
  <si>
    <t>محمد عبدالله عبدالحميد الصايغ</t>
  </si>
  <si>
    <t>99003450</t>
  </si>
  <si>
    <t>50374882 رقم الحارس</t>
  </si>
  <si>
    <t>الفروانية - ق 1ــ م 167 / شارع الاردن -ش 125 - قسيمه 7 - الرقم الآلي 16080711</t>
  </si>
  <si>
    <t>M000296</t>
  </si>
  <si>
    <t>51228665</t>
  </si>
  <si>
    <t>السالمية - ق 12 ــ ش 3 ــ م 3 /شارع عمان   الرقم الالي 90279243</t>
  </si>
  <si>
    <t>M000297</t>
  </si>
  <si>
    <t xml:space="preserve">شركة عون العقارية </t>
  </si>
  <si>
    <t>94400215</t>
  </si>
  <si>
    <t>56624674 رقم الحارس</t>
  </si>
  <si>
    <t>حولي - شارع قتيبة - عقار رقم 7 - الرقم الآلي 93290843</t>
  </si>
  <si>
    <t>M000298</t>
  </si>
  <si>
    <t>محمد نايف محمد العتيبي</t>
  </si>
  <si>
    <t>99016977</t>
  </si>
  <si>
    <t>العدان - ق. 2 ــ ش 62 ــ م 26 - الرقم الآلي 14789292</t>
  </si>
  <si>
    <t>M000299</t>
  </si>
  <si>
    <t>ناصر عبد الله الدعي</t>
  </si>
  <si>
    <t>99810640</t>
  </si>
  <si>
    <t>مبارك الكبير - ق 6 ــــ ش 2 ـــ م 27 - الرقم الآلي 15149684</t>
  </si>
  <si>
    <t>مبارك الكبير</t>
  </si>
  <si>
    <t>BASSETTI</t>
  </si>
  <si>
    <t>M000300</t>
  </si>
  <si>
    <t>99436136 رقم الحارس</t>
  </si>
  <si>
    <t xml:space="preserve"> السالمية - ق 12 - ش ابو هريرة -  B 11 - الرقم الآلي 91990539</t>
  </si>
  <si>
    <t>M000301</t>
  </si>
  <si>
    <t xml:space="preserve">علي دعيج الدبوس </t>
  </si>
  <si>
    <t>55300386</t>
  </si>
  <si>
    <t>ابو حليفة -ق 1ـــ شارع 6 - قسيمة 14</t>
  </si>
  <si>
    <t>M000302</t>
  </si>
  <si>
    <t>عطيه البراك</t>
  </si>
  <si>
    <t>97474004</t>
  </si>
  <si>
    <t>97595257 رقم الحارس</t>
  </si>
  <si>
    <t>حولي - ق 9 ـــ ش 242 - الرقم الآلي 15263284</t>
  </si>
  <si>
    <t xml:space="preserve">تركي </t>
  </si>
  <si>
    <t>M000303</t>
  </si>
  <si>
    <t xml:space="preserve">شركة دايركت كابيتل للتجارة العامة </t>
  </si>
  <si>
    <t>66782987 رقم الحارس</t>
  </si>
  <si>
    <t>حولي - شارع قتيبة - قسيمة 9 - الرقم الآلي 92620636</t>
  </si>
  <si>
    <t>M000304</t>
  </si>
  <si>
    <t>99659430 رقم الحارس</t>
  </si>
  <si>
    <t>السالمية - ق 3 ــ ش 6 ـــ جادة 4 - قسيمة 3 - الرقم الآلي 16941593</t>
  </si>
  <si>
    <t>M000305</t>
  </si>
  <si>
    <t>السالمية - ق  - ش حمد المبارك - مجمع علي التجاري - امام رد تاغ الرقم الالي 11352001</t>
  </si>
  <si>
    <t>M000306</t>
  </si>
  <si>
    <t>د / فلاح المطيري</t>
  </si>
  <si>
    <t>55555339</t>
  </si>
  <si>
    <t>السالمية - شارع قطر - الرقم الآلي 93104094</t>
  </si>
  <si>
    <t>المتحدة  D-type</t>
  </si>
  <si>
    <t>M000307</t>
  </si>
  <si>
    <t>شركة أعيان العقارية</t>
  </si>
  <si>
    <t>66726464</t>
  </si>
  <si>
    <t>99191317 رقم الحارس</t>
  </si>
  <si>
    <t>ق 12 - ش 21 - عقار رقم 9 - الرقم الآلي 93885978</t>
  </si>
  <si>
    <t>تشاب مستر</t>
  </si>
  <si>
    <t>M000308</t>
  </si>
  <si>
    <t>66863681</t>
  </si>
  <si>
    <t>السالمية - قطعه 3- شارع 5- منزل 16 - الرقم الآلي 91763731</t>
  </si>
  <si>
    <t>M000309</t>
  </si>
  <si>
    <t>97679057 رقم الحارس</t>
  </si>
  <si>
    <t>السالمية ــ ق 3 ــ ش 4 - قسيمة 35 - الرقم الآلي 92731942</t>
  </si>
  <si>
    <t>اورونا + سموكي</t>
  </si>
  <si>
    <t>M000312</t>
  </si>
  <si>
    <t>55275434 رقم الحارس</t>
  </si>
  <si>
    <t>حولي - ق 3 ـــ ش 99 ــ شارع عثمان - قسيمة 11 - الرقم الآلي 92783398</t>
  </si>
  <si>
    <t>M000313</t>
  </si>
  <si>
    <t>فهد نوري عبد الخالق النوري</t>
  </si>
  <si>
    <t>55558305-97111182</t>
  </si>
  <si>
    <t>رقم الحارس 41142342</t>
  </si>
  <si>
    <t>قرطبة - ق4- شارع 1جاده 12-قسيمه 1060 - الرقم الآلي 12068336</t>
  </si>
  <si>
    <t>M000314</t>
  </si>
  <si>
    <t xml:space="preserve">الشيخ هلال فواز دعيج الصباح </t>
  </si>
  <si>
    <t>69011445</t>
  </si>
  <si>
    <t>قرطبة - ق 4 ــ ش 4 ــ م 604 قسيمه 614 - الرقم الآلي 15851617</t>
  </si>
  <si>
    <t>M000315</t>
  </si>
  <si>
    <t>نوري عبد الخالق النوري</t>
  </si>
  <si>
    <t>رقم تلفون 99978777</t>
  </si>
  <si>
    <t>قرطبة - ق 4 ــ ش 1 ــ جادة 3 - منزل 17</t>
  </si>
  <si>
    <t>M000317</t>
  </si>
  <si>
    <t>حمد نوري عبد الخالق النوري</t>
  </si>
  <si>
    <t>قرطبة -   ق 4 ــ ش 1 ــ م 31  جاده 12</t>
  </si>
  <si>
    <t>M000318</t>
  </si>
  <si>
    <t xml:space="preserve">جمعية صباح السالم </t>
  </si>
  <si>
    <t>99472342</t>
  </si>
  <si>
    <t>صباح السالم - سوق 1 - ق 9 - الرقم الآلي 90405764</t>
  </si>
  <si>
    <t>M000319</t>
  </si>
  <si>
    <t>حسين العسلاوى</t>
  </si>
  <si>
    <t>99633828</t>
  </si>
  <si>
    <t>العدان - ق7 ــ ش 22 ــ م 33 - الرقم الآلي 15100418</t>
  </si>
  <si>
    <t>M000320</t>
  </si>
  <si>
    <t>ورثة المرحوم /عبد الحميد العسلاوي</t>
  </si>
  <si>
    <t>98886517</t>
  </si>
  <si>
    <t xml:space="preserve">ق 7 ـــ ش 22 ــ م 29 الرقم الالي 15100442 </t>
  </si>
  <si>
    <t>M000322</t>
  </si>
  <si>
    <t>جمعية صباح السالم - سوق 3 ق 4</t>
  </si>
  <si>
    <t>سوق 3 ق 4</t>
  </si>
  <si>
    <t>اريزونا</t>
  </si>
  <si>
    <t>M000323</t>
  </si>
  <si>
    <t>جمعية صباح السالم - سوق 4 ق 2</t>
  </si>
  <si>
    <t xml:space="preserve"> سوق 4 ق 2</t>
  </si>
  <si>
    <t xml:space="preserve">Smoky </t>
  </si>
  <si>
    <t>AVITA</t>
  </si>
  <si>
    <t>M000324</t>
  </si>
  <si>
    <t>الفروانية - ق 3 - ش 30 - قسيمه 15 - الرقم الآلي 91919409</t>
  </si>
  <si>
    <t>ELECOMP</t>
  </si>
  <si>
    <t>M000325</t>
  </si>
  <si>
    <t>99294167 رقم الحارس</t>
  </si>
  <si>
    <t xml:space="preserve"> ميدان حولي  - ق 11 - ش ربيعة - م 13 - الرقم الآلي 92978697</t>
  </si>
  <si>
    <t xml:space="preserve">ميدان حولي </t>
  </si>
  <si>
    <t>كنترول تركي</t>
  </si>
  <si>
    <t>البرتوساس + مونتناري</t>
  </si>
  <si>
    <t>M000327</t>
  </si>
  <si>
    <t>مكية عون حسن المطوع</t>
  </si>
  <si>
    <t>99273320</t>
  </si>
  <si>
    <t>97873532 رقم الحارس</t>
  </si>
  <si>
    <t>حولي - ق12 - شارع 139 (قتيبة) - قسيمة 12461 - الرقم الآلي 92728516</t>
  </si>
  <si>
    <t>M000328</t>
  </si>
  <si>
    <t>69912783 رقم الحارس</t>
  </si>
  <si>
    <t>السالمية -قطعه 12 -شارع ابوذر الغفاري - عمارة 49 - الرقم الآلي 90275859</t>
  </si>
  <si>
    <t>M000329</t>
  </si>
  <si>
    <t>السالمية - قطعه 12- شارع ابوذر الغفاري -جاده 19- قسيمة 6 - الرقم الآلي 90275429</t>
  </si>
  <si>
    <t>M000333</t>
  </si>
  <si>
    <t>م / علي دشتي</t>
  </si>
  <si>
    <t>66880088</t>
  </si>
  <si>
    <t>رقم الحارس 50292590</t>
  </si>
  <si>
    <t xml:space="preserve">بيان  ـــ ق  3  ـــ ش 3  ــ  م 37 </t>
  </si>
  <si>
    <t>بيان</t>
  </si>
  <si>
    <t>M000334</t>
  </si>
  <si>
    <t>كيفان  ـــ ق  1 ـــ ش 13  ــ  م 13</t>
  </si>
  <si>
    <t>كيفان</t>
  </si>
  <si>
    <t>M000335</t>
  </si>
  <si>
    <t xml:space="preserve">سالم حمود الرمي </t>
  </si>
  <si>
    <t>99337723</t>
  </si>
  <si>
    <t>97819411 رقم الحارس</t>
  </si>
  <si>
    <t>السالمية -ق 10 - شارع ثقيف - الرقم الآلي 91645743 - 14871325</t>
  </si>
  <si>
    <t>M000336</t>
  </si>
  <si>
    <t>عبيد مرضي العياش</t>
  </si>
  <si>
    <t>99076859</t>
  </si>
  <si>
    <t xml:space="preserve"> الخالدية - ق 1 ــ ش 14 ــ م1</t>
  </si>
  <si>
    <t>الخالدية</t>
  </si>
  <si>
    <t>M000339</t>
  </si>
  <si>
    <t>حولي  ـــ ق 9    ـــ ش 242  - الرقم الآلي 18832366</t>
  </si>
  <si>
    <t>M000340</t>
  </si>
  <si>
    <t>عبدالعزيز العبيدان</t>
  </si>
  <si>
    <t>99071677</t>
  </si>
  <si>
    <t>السرة- ق 6 ـــ ش 5 ـــ م 34   ش علي بن ابي طالب - الرقم الآلي 15514506</t>
  </si>
  <si>
    <t>LANCOR</t>
  </si>
  <si>
    <t>M000341</t>
  </si>
  <si>
    <t>احمد يوسف الجسمى</t>
  </si>
  <si>
    <t>السرة - ق 4 ــ ش 10 ـــ م 11 - الرقم الآلي 15114916</t>
  </si>
  <si>
    <t>M000342</t>
  </si>
  <si>
    <t xml:space="preserve">ندي عبدالعزيز العدساني </t>
  </si>
  <si>
    <t>99678883</t>
  </si>
  <si>
    <t>رقم الحارس 99678883</t>
  </si>
  <si>
    <t>السرة - ق 5 ــ ش 1 ــ م 75 - الالي 12088791</t>
  </si>
  <si>
    <t>M000343</t>
  </si>
  <si>
    <t>براء حمود الرومي</t>
  </si>
  <si>
    <t>55550085</t>
  </si>
  <si>
    <t>51533197 رقم تلفون</t>
  </si>
  <si>
    <t>الخالدية - ق 4 ــــ ش 45 ــ م 2 - الرقم الآلي 16897414</t>
  </si>
  <si>
    <t>M000344</t>
  </si>
  <si>
    <t>ورثة / حزام الاذينة</t>
  </si>
  <si>
    <t>99423133</t>
  </si>
  <si>
    <t>السالمية - ق 5 ــ ش6 ــ م 12    ش البحرين - الرقم الآلي 15108495</t>
  </si>
  <si>
    <t>M000347</t>
  </si>
  <si>
    <t>خالد علي الشويب</t>
  </si>
  <si>
    <t>99622060</t>
  </si>
  <si>
    <t>97805988</t>
  </si>
  <si>
    <t xml:space="preserve"> السالمية-  ق 12  جادة 1 ــ م 3 - الرقم الآلي 92913914</t>
  </si>
  <si>
    <t>M000348</t>
  </si>
  <si>
    <t>بندر علي الشويب</t>
  </si>
  <si>
    <t>السالمية - جاده 1    ق 12 ــ م 5 - الرقم الآلي 93028634</t>
  </si>
  <si>
    <t>M000350</t>
  </si>
  <si>
    <t>شيخة سعود الحجرف</t>
  </si>
  <si>
    <t>50313151 رقم الحارس</t>
  </si>
  <si>
    <t>الشرق - ق 4 ــ ش 141 ــ م 6    ش احمد الجابر- الرقم الآلي 90002252</t>
  </si>
  <si>
    <t>الشرق</t>
  </si>
  <si>
    <t>M000351</t>
  </si>
  <si>
    <t>مريم سليمان العقيلي</t>
  </si>
  <si>
    <t>99549012</t>
  </si>
  <si>
    <t>99549012 رقم الحارس</t>
  </si>
  <si>
    <t>حولي – ق 2- ش 50-م1 - الرقم الآلي 18226067</t>
  </si>
  <si>
    <t>M000352</t>
  </si>
  <si>
    <t>شركة دايركت كابيتال للتجارة العامة</t>
  </si>
  <si>
    <t>66766894 رقم الحارس</t>
  </si>
  <si>
    <t>حولي - ق 9 ــ ش 235 - قسيمة 58 - الرقم الآلي 20121205</t>
  </si>
  <si>
    <t>M000354</t>
  </si>
  <si>
    <t>توحيد عبد الله أحمد الكندري</t>
  </si>
  <si>
    <t>99442244</t>
  </si>
  <si>
    <t>99535071 رقم الحارس</t>
  </si>
  <si>
    <t>حولي - ق 1 ــ ش 25 ــ م 17 - الرقم الآلي 18268099</t>
  </si>
  <si>
    <t>M000355</t>
  </si>
  <si>
    <t>96976583 رقم الحارس</t>
  </si>
  <si>
    <t>الفروانية- ق 4 ــ ش حبيب المناور ــ مجمع بنك وربة - قسيمه 29</t>
  </si>
  <si>
    <t>M000356</t>
  </si>
  <si>
    <t>51665226 رقم الحارس</t>
  </si>
  <si>
    <t>حولي - ق 3- ش 74- عمارة 4 - الرقم الآلي 93019025</t>
  </si>
  <si>
    <t>رويال</t>
  </si>
  <si>
    <t>M000357</t>
  </si>
  <si>
    <t xml:space="preserve">ورثة المرحوم / عدنان خليل الحمر </t>
  </si>
  <si>
    <t>99929035 رقم الحارس</t>
  </si>
  <si>
    <t>حولي - ق 12 ــ ش 139 ـــ م 4 - الرقم الآلي 92525823</t>
  </si>
  <si>
    <t>M000358</t>
  </si>
  <si>
    <t xml:space="preserve">جمعية النجاة الخيرية </t>
  </si>
  <si>
    <t>97267451</t>
  </si>
  <si>
    <t>65159456 رقم الحارس</t>
  </si>
  <si>
    <t>حولى  ـــ ق  1  ـــ ش موسى بن نصير  ــ  م 1 - الرقم الآلي 16390286</t>
  </si>
  <si>
    <t>جمعية النجاة الخيرية</t>
  </si>
  <si>
    <t>M000360</t>
  </si>
  <si>
    <t xml:space="preserve"> ابتسام المطوع </t>
  </si>
  <si>
    <t>97367869 رقم الحارس</t>
  </si>
  <si>
    <t xml:space="preserve">ابوفطيرة - ق 1 ــ ش 118 ــــ م 144 </t>
  </si>
  <si>
    <t>ابو فطيرة</t>
  </si>
  <si>
    <t>M000361</t>
  </si>
  <si>
    <t>ضرار علي ملا أحمد</t>
  </si>
  <si>
    <t>67758886</t>
  </si>
  <si>
    <t>67758881 رقم الحارس</t>
  </si>
  <si>
    <t>الفنطاس  –   ق 3 –  ش 2  – م  46</t>
  </si>
  <si>
    <t>M000363</t>
  </si>
  <si>
    <t>عبد الله السالم - ق  2 ــ ش حمود يوسف النصف   ــ  م 12  - الالي 10414063</t>
  </si>
  <si>
    <t xml:space="preserve"> عبدالله السالم</t>
  </si>
  <si>
    <t>M000364</t>
  </si>
  <si>
    <t>طارق يوسف مرزوق</t>
  </si>
  <si>
    <t>66337877</t>
  </si>
  <si>
    <t xml:space="preserve">عبد الله المبارك - ق 4 ــ  ش 418 ــ  م  32 الرقم الالي 17652208 </t>
  </si>
  <si>
    <t xml:space="preserve">عبدالله مبارك </t>
  </si>
  <si>
    <t>M000365</t>
  </si>
  <si>
    <t>99646931</t>
  </si>
  <si>
    <t>الجهراء - ق 3 ـــ ش  3 ـــ ج 4  ــ  م 43- الرقم الآلي 92443166</t>
  </si>
  <si>
    <t>الجهراء</t>
  </si>
  <si>
    <t>M000366</t>
  </si>
  <si>
    <t>الجهراء - ق 3 ـــ ش  3 ـــ ج 4  ــ  م 85 - الرقم الآلي 92392389</t>
  </si>
  <si>
    <t>M000367</t>
  </si>
  <si>
    <t>50708016 رقم الحارس</t>
  </si>
  <si>
    <t>الجهراء - ق 3 ـــ ش  3 ـــ ج 4  ــ  م 86 الرقم الآلي 92426614</t>
  </si>
  <si>
    <t>M000369</t>
  </si>
  <si>
    <t>منصور تركي العتيبي</t>
  </si>
  <si>
    <t>97251212</t>
  </si>
  <si>
    <t>ابو فطيرة   ـــ  ق 2   ـــ  ش 136 ـــ  م304</t>
  </si>
  <si>
    <t>M000370</t>
  </si>
  <si>
    <t>تركي العتيبي</t>
  </si>
  <si>
    <t xml:space="preserve">ابو فطيرة   ـــ  ق 1 ـــ  ش 121 ـــ  م  95 </t>
  </si>
  <si>
    <t>سرعتين سموكي + ريليه هيدروليك</t>
  </si>
  <si>
    <t>سيكور + هيدروليك تركيب مترو</t>
  </si>
  <si>
    <t>M000371</t>
  </si>
  <si>
    <t>الفروانية ـــ ق 4 ـــ ش  114 ــ  م 5  - قسيمه 3 - الرقم الآلي 93288575</t>
  </si>
  <si>
    <t>رويال الوطنية</t>
  </si>
  <si>
    <t>M000372</t>
  </si>
  <si>
    <t>95958873 رقم الحارس</t>
  </si>
  <si>
    <t>السالمية - ق 10 ـــ ش 10 ــــ م 29 أ - الرقم الآلي 11513776</t>
  </si>
  <si>
    <t>M000373</t>
  </si>
  <si>
    <t>مسلم حسين القطان</t>
  </si>
  <si>
    <t>97899112</t>
  </si>
  <si>
    <t xml:space="preserve">ق 1  - ش 12 - ج 12 - م 10 </t>
  </si>
  <si>
    <t>M000374</t>
  </si>
  <si>
    <t xml:space="preserve">51448362 </t>
  </si>
  <si>
    <t>51448362 رقم الحارس</t>
  </si>
  <si>
    <t>حولي قطعه 10 شارع 208  - الرقم الآلي 90219961</t>
  </si>
  <si>
    <t>M000375</t>
  </si>
  <si>
    <t>65610551</t>
  </si>
  <si>
    <t>حولي  ـــ ق 3   ـــ  ش  97  ــ  قسيمة 17518- الرقم الآلي 93277585</t>
  </si>
  <si>
    <t>M000376</t>
  </si>
  <si>
    <t>شركة عبد الله علي يوسف المزيني</t>
  </si>
  <si>
    <t>66286492 رقم الحارس</t>
  </si>
  <si>
    <t>السلام ـــ ق 7 ـــ  ش 701 ـــ م 13 - الرقم الآلي 19018489</t>
  </si>
  <si>
    <t xml:space="preserve">السلام </t>
  </si>
  <si>
    <t>M000377</t>
  </si>
  <si>
    <t>66342280 رقم الحارس</t>
  </si>
  <si>
    <t>السالمية ـــ ق  ـــ  ش البحرين متفرع من ش العوازم ـــ الرقم الآلي 93269841</t>
  </si>
  <si>
    <t>M000378</t>
  </si>
  <si>
    <t>شركة اعيان العقارية</t>
  </si>
  <si>
    <t xml:space="preserve">ق 3 - ش 7 - عقار 54 - قسيمة 30 الرقم الالي 90905902 </t>
  </si>
  <si>
    <t>سرعتين رويال</t>
  </si>
  <si>
    <t>M000380</t>
  </si>
  <si>
    <t>حطين ـــ ق 3 ــ  ش 326 ـــ م 21 - الرقم الآلي 15662656</t>
  </si>
  <si>
    <t>حطين</t>
  </si>
  <si>
    <t>M000381</t>
  </si>
  <si>
    <t xml:space="preserve">عبد المحسن المهنا </t>
  </si>
  <si>
    <t xml:space="preserve">الجابرية - ق 9 - ش 18 - م 26 الرقم الالي 14586452 </t>
  </si>
  <si>
    <t>M000382</t>
  </si>
  <si>
    <t>رقم الحارس 65956198</t>
  </si>
  <si>
    <t>السلام - ق 5 ــ ش 515 ــ م 43 - الرقم الآلي 20431481</t>
  </si>
  <si>
    <t>سيجما</t>
  </si>
  <si>
    <t>M000383</t>
  </si>
  <si>
    <t>65603311 رقم الحارس</t>
  </si>
  <si>
    <t xml:space="preserve">المرقاب - ق 1 ــ ش 150 ـــ م 4 ب      </t>
  </si>
  <si>
    <t>IRIS</t>
  </si>
  <si>
    <t>A- Sicor / B Italy gear</t>
  </si>
  <si>
    <t>M000384</t>
  </si>
  <si>
    <t>محمد البصيري</t>
  </si>
  <si>
    <t>99859777</t>
  </si>
  <si>
    <t>66025053 رقم الحارس</t>
  </si>
  <si>
    <t>الجهراء ـــ  ق 4 ـــ ش   3 ـــ م 39 - الرقم الآلي 93863955</t>
  </si>
  <si>
    <t>M000386</t>
  </si>
  <si>
    <t>60347433 رقم الحارس</t>
  </si>
  <si>
    <t>السالمية - ق 10 ـــ ش يوسف البدر  ــ  م 22 - الرقم الآلي 92795989 - 17097486</t>
  </si>
  <si>
    <t>M000387</t>
  </si>
  <si>
    <t>66549717</t>
  </si>
  <si>
    <t>السالمية - ق 10 - ج 18 - ش عيسي القطامي قسيمة 5 - الرقم الآلي 93340521</t>
  </si>
  <si>
    <t>نوفا + ايطالي جير</t>
  </si>
  <si>
    <t>M000388</t>
  </si>
  <si>
    <t>شركة مجموعة اركادية العقارية</t>
  </si>
  <si>
    <t>22440204</t>
  </si>
  <si>
    <t>93296140- 97431299</t>
  </si>
  <si>
    <t>غرب أبو فطيرة الحرفية -اسواق القرين - ق1 - شارع 24ـــ قسيمة16 - الرقم الالي 20073469</t>
  </si>
  <si>
    <t>القرين</t>
  </si>
  <si>
    <t>M000389</t>
  </si>
  <si>
    <t>سامي عيد المزرم</t>
  </si>
  <si>
    <t>51321000</t>
  </si>
  <si>
    <t>رقم الحارس 90080296</t>
  </si>
  <si>
    <t xml:space="preserve">سلوى – ق6 - ش 12 - م 13  </t>
  </si>
  <si>
    <t>M000390</t>
  </si>
  <si>
    <t>صلاح عيد حمد المزرم</t>
  </si>
  <si>
    <t>60006739</t>
  </si>
  <si>
    <t>سلوي  ـــ ق 7 ـــ ش 7 ـــ م 4 - الرقم الآلي 15039872</t>
  </si>
  <si>
    <t>M000392</t>
  </si>
  <si>
    <t>شركة دلتا الوطنية لادارة املاك الغير</t>
  </si>
  <si>
    <t>92203047</t>
  </si>
  <si>
    <t>السالمية -  ق10 - ش المغيرة بن شعبة – جادة 18 – قسيمة 42- الرقم الآلي 93897087</t>
  </si>
  <si>
    <t>M000395</t>
  </si>
  <si>
    <t>د.عبد الوهاب سلمان الفوزان</t>
  </si>
  <si>
    <t>65782088 رقم الحارس</t>
  </si>
  <si>
    <t>ابوحليفة - ق 3 ــ ش البلاجات ــ قسيمة 4 - الرقم الآلي 19216565</t>
  </si>
  <si>
    <t>M000396</t>
  </si>
  <si>
    <t xml:space="preserve">الشرق - ق 6 ــ ش مبارك الكبير الرقم الالي 90001209 </t>
  </si>
  <si>
    <t>هونداي</t>
  </si>
  <si>
    <t>LOTTER</t>
  </si>
  <si>
    <t>M000397</t>
  </si>
  <si>
    <t>67751038 رقم الحارس</t>
  </si>
  <si>
    <t>ق 1 ــ ش 120 ــ قيسمة 27 - الرقم الآلي 93879404</t>
  </si>
  <si>
    <t>M000398</t>
  </si>
  <si>
    <t>خالدة العثمان</t>
  </si>
  <si>
    <t>99636711</t>
  </si>
  <si>
    <t>67751038</t>
  </si>
  <si>
    <t>الشامية -ق 7 ــ ش 73 ــ م 31 الرقم الالي 10402249</t>
  </si>
  <si>
    <t>M000399</t>
  </si>
  <si>
    <t>سعود محمد الربيعة</t>
  </si>
  <si>
    <t>97202848</t>
  </si>
  <si>
    <t>97140117 - 90955052</t>
  </si>
  <si>
    <t>حولي - خلف مخفر النقرة - الرقم الآلي 18194114</t>
  </si>
  <si>
    <t>M000401</t>
  </si>
  <si>
    <t>99134676 رقم الحارس</t>
  </si>
  <si>
    <t>ق8 - شارع 267 - قسيمة 7521 - عقار 21- الرقم الآلي 90215215</t>
  </si>
  <si>
    <t>M000402</t>
  </si>
  <si>
    <t>69689591 رقم الحارس</t>
  </si>
  <si>
    <t>ق 6 ــ ش 37 ــ قيسمة 21 - الرقم الآلي 93344127 - 18435301</t>
  </si>
  <si>
    <t>بريمو + ايطالي جير</t>
  </si>
  <si>
    <t>M000403</t>
  </si>
  <si>
    <t>الجهراء - ق 3 ـــ ش 3 ـــ م 44 - الرقم الآلي 92 - الرقم الآلي 92443182</t>
  </si>
  <si>
    <t>M000404</t>
  </si>
  <si>
    <t>العيون - البيت ـــ  ق 3 ـــ ش 3 ــ م 64 - الرقم الآلي 14540366</t>
  </si>
  <si>
    <t>M000406</t>
  </si>
  <si>
    <t xml:space="preserve">جاسم محمد العمر </t>
  </si>
  <si>
    <t>94905479 رقم الحارس</t>
  </si>
  <si>
    <t>الفروانية - ق 1 ـــ ش 90 ـــ قسيمة 157 - الرقم الآلي 92765667</t>
  </si>
  <si>
    <t>M000407</t>
  </si>
  <si>
    <t>هنادي أحمد يوسف العميري</t>
  </si>
  <si>
    <t>جليب الشيوخ - ق 4  - ش  17  ــ قسيمة 21</t>
  </si>
  <si>
    <t>M000408</t>
  </si>
  <si>
    <t>طارق عيد المزرم</t>
  </si>
  <si>
    <t>97600012</t>
  </si>
  <si>
    <t>سلوى - ق 6 ــ ش 8 ـــ م 27</t>
  </si>
  <si>
    <t>M000410</t>
  </si>
  <si>
    <t xml:space="preserve">سعاد ابراهيم الفارس </t>
  </si>
  <si>
    <t>98539372</t>
  </si>
  <si>
    <t>الفروانية- ق 5 - ش 105 - م 66 الرقم الالي 91863425</t>
  </si>
  <si>
    <t>M000411</t>
  </si>
  <si>
    <t>شريفة علي يوسف المزيني</t>
  </si>
  <si>
    <t>50989100</t>
  </si>
  <si>
    <t>97863760 رقم الحارس</t>
  </si>
  <si>
    <t>حولي - ش موسي بن نصير - قسيمة 17 - الرقم الآلي 15189125</t>
  </si>
  <si>
    <t>M000412</t>
  </si>
  <si>
    <t xml:space="preserve">مجموعة اتحاد ملاك </t>
  </si>
  <si>
    <t>55825825</t>
  </si>
  <si>
    <t>الشعب البحري - ق 8 - ش91 - قسيمة 75 - الرقم الآلي 93422033</t>
  </si>
  <si>
    <t>M000413</t>
  </si>
  <si>
    <t>97375944 رقم الحارس</t>
  </si>
  <si>
    <t>السالمية - ق 12 ـــ ش 5 ــ قسيمة 13 - الرقم الآلي 17015524</t>
  </si>
  <si>
    <t>M000414</t>
  </si>
  <si>
    <t>مهندس / ابراهيم الشمري</t>
  </si>
  <si>
    <t>66744327</t>
  </si>
  <si>
    <t>سعد العبد الله - ق 6 ــ ش 614 ــ م 23 - الالي 16404026</t>
  </si>
  <si>
    <t>M000415</t>
  </si>
  <si>
    <t>عمر تركي العتيبي</t>
  </si>
  <si>
    <t>58855050</t>
  </si>
  <si>
    <t>غرب الصليبخات ـ ق 1 ــ ش 144 ــ م 525 - الرقم الآلي 21177032</t>
  </si>
  <si>
    <t>M000416</t>
  </si>
  <si>
    <t xml:space="preserve">علي سليمان الغنيم </t>
  </si>
  <si>
    <t>99122228</t>
  </si>
  <si>
    <t>99274734</t>
  </si>
  <si>
    <t>خيطان - ق 4 ــ ش 98 ــ قسيمة 415 - الرقم الآلي 91993692</t>
  </si>
  <si>
    <t>M000420</t>
  </si>
  <si>
    <t>الشيخ / فيصل خليفه الصباح</t>
  </si>
  <si>
    <t>99571949 رقم الحارس</t>
  </si>
  <si>
    <t>الجابرية - ق 11 ـــ ش 1 ـــ م 3</t>
  </si>
  <si>
    <t>M000421</t>
  </si>
  <si>
    <t>99571949</t>
  </si>
  <si>
    <t xml:space="preserve">الجابرية - ق 11 ــ ش 4 ـــ م 341 الرقم الالي 20086956 </t>
  </si>
  <si>
    <t>M000422</t>
  </si>
  <si>
    <t>علي عبدالله علي المزيني</t>
  </si>
  <si>
    <t>عبدالله السالم - ق 4 ـــ ش 45 ــ م 17</t>
  </si>
  <si>
    <t>M000423</t>
  </si>
  <si>
    <t>شركة مشاريع الخليج</t>
  </si>
  <si>
    <t>55429299</t>
  </si>
  <si>
    <t>65955717 رقم الحارس</t>
  </si>
  <si>
    <t>المهبولة - ق 1 ـــ ش 101 ــ ش 103 ــ قسيمة 274 - 275 -276 -277 - الرقم الآلي 93657094</t>
  </si>
  <si>
    <t>المهبولة</t>
  </si>
  <si>
    <t>مونتناري + تركي</t>
  </si>
  <si>
    <t>M000425</t>
  </si>
  <si>
    <t xml:space="preserve">شركة الداو الهندسية صبحان </t>
  </si>
  <si>
    <t>66950649</t>
  </si>
  <si>
    <t xml:space="preserve"> صبحان  - وزارة الكهرباء- التمديدات </t>
  </si>
  <si>
    <t>صبحان</t>
  </si>
  <si>
    <t>شركة الداو الهندسية</t>
  </si>
  <si>
    <t>M000426</t>
  </si>
  <si>
    <t>سلوي  ـــ ق 10 ـــ ش 2 ـــ م 31 - الرقم الآلي 15753048</t>
  </si>
  <si>
    <t>M000430</t>
  </si>
  <si>
    <t xml:space="preserve">محمد جاسم أحمد الشطي </t>
  </si>
  <si>
    <t>97531111</t>
  </si>
  <si>
    <t xml:space="preserve">عبد الله المبارك - ق 6 ـــ ش 622 ـــ م 30 الرقم الالي 17671994 </t>
  </si>
  <si>
    <t>M000431</t>
  </si>
  <si>
    <t>شركة انصار الخليج (بنيد القار -وزارة الدفاع)</t>
  </si>
  <si>
    <t>65089789</t>
  </si>
  <si>
    <t>بنيد القار - شارع 25 ( شارع البلاجات) - نادي الضباط البحري</t>
  </si>
  <si>
    <t xml:space="preserve">شركة انصار الخليج </t>
  </si>
  <si>
    <t>M000432</t>
  </si>
  <si>
    <t xml:space="preserve">طارق علي السليمان </t>
  </si>
  <si>
    <t>96717075</t>
  </si>
  <si>
    <t>97763670 رقم الحارس</t>
  </si>
  <si>
    <t>خيطان - ق 8 ـــ ش 76 ـــ قسيمة 5 - الرقم الآلي 12281698</t>
  </si>
  <si>
    <t>M000433</t>
  </si>
  <si>
    <t>الجهراء القديمة - ق 5 ـــ ش 1 ـــ ج 7 ـــ م 112 - الرقم الآلي 16001614</t>
  </si>
  <si>
    <t>M000434</t>
  </si>
  <si>
    <t>99015183 رقم الحارس</t>
  </si>
  <si>
    <t>الشويخ الصناعية  ـــ خلف سوق لندن ـــ ق ( أ ) - الرقم الآلي 17800231</t>
  </si>
  <si>
    <t>M000435</t>
  </si>
  <si>
    <t xml:space="preserve">شركة اعيان العقارية </t>
  </si>
  <si>
    <t>76735229 رقم الحارس</t>
  </si>
  <si>
    <t xml:space="preserve">ميدان حولي - ق 11 ــــ شارع ( أحد ) </t>
  </si>
  <si>
    <t>M000439</t>
  </si>
  <si>
    <t xml:space="preserve">ورثة المرحومة / مريم محمد الهاجري </t>
  </si>
  <si>
    <t>66451117</t>
  </si>
  <si>
    <t xml:space="preserve">المهبولة  ــ ق 3 ــ ش 304 ــ قسيمة 190 الرقم الالي 18633017 </t>
  </si>
  <si>
    <t>M000440</t>
  </si>
  <si>
    <t>98823660 رقم الحارس</t>
  </si>
  <si>
    <t xml:space="preserve"> حولي - شارع قتيبة – قسيمة رقم 7 - الرقم الآلي 93845888</t>
  </si>
  <si>
    <t>M000441</t>
  </si>
  <si>
    <t>عدنان محمد جمعه بعركي</t>
  </si>
  <si>
    <t>99038249</t>
  </si>
  <si>
    <t>99018249 رقم الحارس</t>
  </si>
  <si>
    <t>خيطان قطعة 10 – شارع ناصر الجابري – منزل 46 - الرقم الآلي 12197218</t>
  </si>
  <si>
    <t>M000442</t>
  </si>
  <si>
    <t>امير حسين القطان</t>
  </si>
  <si>
    <t xml:space="preserve">المنصورية - قطعة 1 – شارع 12 </t>
  </si>
  <si>
    <t>ABECG</t>
  </si>
  <si>
    <t>M000443</t>
  </si>
  <si>
    <t>M000444</t>
  </si>
  <si>
    <t xml:space="preserve"> زيد محمد الكحيلان </t>
  </si>
  <si>
    <t>رقم تلفون 97691104</t>
  </si>
  <si>
    <t>قرطبة – قطعة 1 – شارع 4 – قسيمة 4- الالي 14958631</t>
  </si>
  <si>
    <t>M000445</t>
  </si>
  <si>
    <t>ساير جاسم محمد الساير</t>
  </si>
  <si>
    <t>98043730 رقم الحارس</t>
  </si>
  <si>
    <t>حولي- قتيبة المغرب السريع – قطعة 12 – شارع  139 - بناية 59- الرقم الآلي 92737308</t>
  </si>
  <si>
    <t>M000446</t>
  </si>
  <si>
    <t xml:space="preserve">نواف عبدالرحمن فارس المطيري </t>
  </si>
  <si>
    <t>99646441</t>
  </si>
  <si>
    <t>69394466</t>
  </si>
  <si>
    <t>الفروانية ق 3 - شارع 112 -منزل 15 - الرقم الآلي 19425156</t>
  </si>
  <si>
    <t>M000448</t>
  </si>
  <si>
    <t>60031153</t>
  </si>
  <si>
    <t>60031153 رقم الحارس</t>
  </si>
  <si>
    <t>الفروانية - ق 2 شارع 81- منزل 26 - الالي 12454069</t>
  </si>
  <si>
    <t>M000449</t>
  </si>
  <si>
    <t xml:space="preserve">سفارة الجمهورية الايرانية </t>
  </si>
  <si>
    <t>99830163</t>
  </si>
  <si>
    <t>منزل السفير قطعة 2- شارع 24 - منزل 6 - الرقم الآلي 18815603</t>
  </si>
  <si>
    <t>LG</t>
  </si>
  <si>
    <t>M000450</t>
  </si>
  <si>
    <t xml:space="preserve">سفارة الجمهورية الإيرانية الاسلامية - بنيد القار- منطقة السفارات </t>
  </si>
  <si>
    <t>M000452</t>
  </si>
  <si>
    <t>اقبال محمد الصقعبي</t>
  </si>
  <si>
    <t>66502326</t>
  </si>
  <si>
    <t>96778054 رقم الحارس</t>
  </si>
  <si>
    <t>ابو حليفة - قطعة 2- شارع عبدالملك بن مروان - عمارة رقم 67 - الرقم الآلي 93119202</t>
  </si>
  <si>
    <t>M000453</t>
  </si>
  <si>
    <t xml:space="preserve">خلف أحمد خلف السعدي </t>
  </si>
  <si>
    <t>65889216 رقم الحارس</t>
  </si>
  <si>
    <t xml:space="preserve">الجهراء - القصر - قطعة 4B -شارع مسكن الدرامي - قسمية 141  </t>
  </si>
  <si>
    <t>شارب</t>
  </si>
  <si>
    <t>أطلس</t>
  </si>
  <si>
    <t>M000454</t>
  </si>
  <si>
    <t xml:space="preserve">جابر الأحمد – قطعة 5 – شارع  534 – قسيمة 50  </t>
  </si>
  <si>
    <t>GEM</t>
  </si>
  <si>
    <t>M000455</t>
  </si>
  <si>
    <t>زيد الكحيلان</t>
  </si>
  <si>
    <t>97600115</t>
  </si>
  <si>
    <t xml:space="preserve">الكويت – المباركية – سوق الحريم -  قسيمة القيصرية </t>
  </si>
  <si>
    <t>M000456</t>
  </si>
  <si>
    <t>خليفه احمد يوسف العميري</t>
  </si>
  <si>
    <t>جليب الشيوخ - ق 4 - شارع 6 - قسيمة 104 - الرقم الآلي 92155623</t>
  </si>
  <si>
    <t>M000457</t>
  </si>
  <si>
    <t>سما كابيتال العالمية لبيع وشراء الاراضي والعقارات</t>
  </si>
  <si>
    <t>90980504</t>
  </si>
  <si>
    <t>99211780 رقم الحارس</t>
  </si>
  <si>
    <t>الكويت - ق7-ش سوق الغربلي -م 18 - الرقم الآلي 94284891</t>
  </si>
  <si>
    <t>شركة سما كابيتال العالمية لبيع وشراء الاراضي والعقارات</t>
  </si>
  <si>
    <t>MODENA</t>
  </si>
  <si>
    <t>M000458</t>
  </si>
  <si>
    <t>خالد حسن عبدالله القحطاني</t>
  </si>
  <si>
    <t>66467095</t>
  </si>
  <si>
    <t>الفحيحيل-  قطعة 1 – شارع 7 – قسيمة 219</t>
  </si>
  <si>
    <t>M000461</t>
  </si>
  <si>
    <t>وضاح سيد بهبهاني</t>
  </si>
  <si>
    <t xml:space="preserve">السيد/ احمد </t>
  </si>
  <si>
    <t>66964790 رقم الحارس</t>
  </si>
  <si>
    <t>خيطان - قطعة 4 - شارع بن طفيل عمارة 441 - الرقم الآلي 94071474</t>
  </si>
  <si>
    <t>M000462</t>
  </si>
  <si>
    <t xml:space="preserve">مكتب /د فهد دهش الرشيدي </t>
  </si>
  <si>
    <t>98817499</t>
  </si>
  <si>
    <t>98772862</t>
  </si>
  <si>
    <t xml:space="preserve"> ميدان حولي  ق 11 - شارع الربيعة - منزل 9 - الرقم الآلي 11619271</t>
  </si>
  <si>
    <t xml:space="preserve">مكتب د/ فهد دهش غنيم الرشيدي </t>
  </si>
  <si>
    <t>M000464</t>
  </si>
  <si>
    <t>99423004 رقم الحارس</t>
  </si>
  <si>
    <t xml:space="preserve"> ميدان حولي   قطعة 11  شارع الفضالة  جادة 5  قسيمة36051 -عماره 1منزل 36/5 الرقم الآلي 92544688</t>
  </si>
  <si>
    <t>M000465</t>
  </si>
  <si>
    <t xml:space="preserve"> ميدان حولي   قطعة 11  شارع يثرب  جادة 5  منزل 1/36 - الآلي 92584444</t>
  </si>
  <si>
    <t>سموكي + الوطنية Dtype</t>
  </si>
  <si>
    <t>M000466</t>
  </si>
  <si>
    <t>97322325 رقم الحارس</t>
  </si>
  <si>
    <t>خيطان – قطعة 6 - شارع 27 – منزل 96 - الرقم الآلي 92525524</t>
  </si>
  <si>
    <t>M000469</t>
  </si>
  <si>
    <t xml:space="preserve">الجابرية – قطعة 5  -شارع 8 – منزل 8  الرقم الالي 21069007 </t>
  </si>
  <si>
    <t>M000470</t>
  </si>
  <si>
    <t xml:space="preserve">أبو حليفة - قطعة 2 ــــــ شارع 3 ـــــــ منزل 8    الرقم الالي 90896241 </t>
  </si>
  <si>
    <t>M000471</t>
  </si>
  <si>
    <t>الفريق طلال مبارك المونس</t>
  </si>
  <si>
    <t>99040162</t>
  </si>
  <si>
    <t>خيران – منطقة A C  - قسيمة 2646</t>
  </si>
  <si>
    <t>خيران</t>
  </si>
  <si>
    <t>M000472</t>
  </si>
  <si>
    <t xml:space="preserve">مكتب الرابية العقاري </t>
  </si>
  <si>
    <t>حولي - قطعة 2 - شارع 47 – عمارة 171 - الرقم الالي 90202713</t>
  </si>
  <si>
    <t>مكتب الرابية العقاري</t>
  </si>
  <si>
    <t>M000473</t>
  </si>
  <si>
    <t>67797681</t>
  </si>
  <si>
    <t xml:space="preserve">المنقف – شارع 1 – قطعة 3 – قسيمة 151   الرقم الالي 93344274 </t>
  </si>
  <si>
    <t>EGYTRONIX</t>
  </si>
  <si>
    <t>M000474</t>
  </si>
  <si>
    <t>جوزه خالد ضحيان</t>
  </si>
  <si>
    <t>99117322</t>
  </si>
  <si>
    <t>الزهراء - قطعة 8 - شارع 811 - منزل 7  - الرقم الآلي 18820146</t>
  </si>
  <si>
    <t>M000475</t>
  </si>
  <si>
    <t>97244202 رقم الحارس</t>
  </si>
  <si>
    <t>الفنطاس - قطعة 1 - شارع 5 - قسيمة 26 - الرقم الآلي 90885147</t>
  </si>
  <si>
    <t>M000476</t>
  </si>
  <si>
    <t>66329558 رقم الحارس</t>
  </si>
  <si>
    <t>الفنطاس – قطعة 2 – شارع 7 – منزل 9 - الرقم الآلي 93923831</t>
  </si>
  <si>
    <t>M000477</t>
  </si>
  <si>
    <t>ايمان حسن ميرزا</t>
  </si>
  <si>
    <t>99444005</t>
  </si>
  <si>
    <t>السره- قطعة 5 - شارع 8 - منزل 15 - الرقم الآلي 18616807</t>
  </si>
  <si>
    <t>هيدروليك - ريليه</t>
  </si>
  <si>
    <t>M000480</t>
  </si>
  <si>
    <t>رشيد أحمد محمد الرشيد</t>
  </si>
  <si>
    <t xml:space="preserve">سلوى - قطعة 11- شارع 2- منزل 128 الرقم الالي 11901621 </t>
  </si>
  <si>
    <t>M000481</t>
  </si>
  <si>
    <t>90976987 رقم الحارس</t>
  </si>
  <si>
    <t>ميدان حولي - قطعة 11 - شارع جابر ابن حيان – عمارة 49 - الرقم الآلي 90272252</t>
  </si>
  <si>
    <t>12</t>
  </si>
  <si>
    <t>M000483</t>
  </si>
  <si>
    <t>ناصر محمد عاشور القلاف</t>
  </si>
  <si>
    <t>66551116</t>
  </si>
  <si>
    <t>الرميثية - قطعة 5 -شارع 52 - منزل 6</t>
  </si>
  <si>
    <t>M000484</t>
  </si>
  <si>
    <t>طارق عبدالله احمد الفرحان</t>
  </si>
  <si>
    <t>51626516</t>
  </si>
  <si>
    <t>الدسمة - قطعة 4 - شارع 45 - منزل 7 - الرقم الآلي 15037965</t>
  </si>
  <si>
    <t>الدسمة</t>
  </si>
  <si>
    <t>M000485</t>
  </si>
  <si>
    <t>رقم تلفون 51626516</t>
  </si>
  <si>
    <t>السلام- قطعه 3- شارع 306-منزل 7 - الالي 17461997</t>
  </si>
  <si>
    <t>M000488</t>
  </si>
  <si>
    <t xml:space="preserve">حمد محمد الفرهود </t>
  </si>
  <si>
    <t>97874974</t>
  </si>
  <si>
    <t xml:space="preserve">القادسية - قطعة 6 -شارع 60 - منزل 5  الرقم الالي 14607938 </t>
  </si>
  <si>
    <t>M000489</t>
  </si>
  <si>
    <t>حميد غلوم</t>
  </si>
  <si>
    <t>غرب عبدالله المبارك - قطعة 7 - شارع 718 - قسيمة 220</t>
  </si>
  <si>
    <t>M000490</t>
  </si>
  <si>
    <t>51702444</t>
  </si>
  <si>
    <t>السالمية – قطعة 12 – شارع عمان – جادة 1 – قسيمة 3 - الرقم الآلي 92774803</t>
  </si>
  <si>
    <t>M000491</t>
  </si>
  <si>
    <t>الشهداء  – قطعة 5 – شارع 506 – منزل 62</t>
  </si>
  <si>
    <t>M000492</t>
  </si>
  <si>
    <t xml:space="preserve">شركة الجود العالمية العقارية </t>
  </si>
  <si>
    <t>90006070</t>
  </si>
  <si>
    <t>50531201 رقم الحارس</t>
  </si>
  <si>
    <t>ميدان حولي   – قطعة 11 – شارع عبدالله الفضالة – قسيمة 52 - الآلي 93223755</t>
  </si>
  <si>
    <t>سرعتين سموكي + VVVF</t>
  </si>
  <si>
    <t>فوجي بدون صندوق تروس</t>
  </si>
  <si>
    <t>M000494</t>
  </si>
  <si>
    <t>مني خليل الحمر</t>
  </si>
  <si>
    <t xml:space="preserve">سلوى -قطعة 3 - شارع 1 - منزل 48 الرقم الالي 15196683 </t>
  </si>
  <si>
    <t>M000496</t>
  </si>
  <si>
    <t>م.علي الدشتي</t>
  </si>
  <si>
    <t>خيران - صباح الأحمد</t>
  </si>
  <si>
    <t>M000498</t>
  </si>
  <si>
    <t xml:space="preserve"> سعد العبد الله - ق9-قسيمة 40</t>
  </si>
  <si>
    <t>M000499</t>
  </si>
  <si>
    <t xml:space="preserve">المنقف- طوارئ الانارة </t>
  </si>
  <si>
    <t>M000500</t>
  </si>
  <si>
    <t>ق1 - قسيمه 41</t>
  </si>
  <si>
    <t>M000501</t>
  </si>
  <si>
    <t xml:space="preserve"> عبدالله مبارك  - ق 7- ش 10</t>
  </si>
  <si>
    <t>M000504</t>
  </si>
  <si>
    <t>العدان – قطعه 2 – شارع 13 – منزل 26 مقابل شارع 23</t>
  </si>
  <si>
    <t>M000505</t>
  </si>
  <si>
    <t>د / نايف المطيري</t>
  </si>
  <si>
    <t>اشبيليه – ق3 -ش 305 - قسيمة ( 36 )- 17292388</t>
  </si>
  <si>
    <t>M000507</t>
  </si>
  <si>
    <t>55460428 رقم الحارس</t>
  </si>
  <si>
    <t xml:space="preserve"> السالمية  قطعة 12  شارع ناصر البدر   جادة 2  منزل 114 </t>
  </si>
  <si>
    <t>M000508</t>
  </si>
  <si>
    <t>67094355 رقم الحارس</t>
  </si>
  <si>
    <t xml:space="preserve"> السالمية  قطعة 12  شارع ناصر البدر  جادة 2  منزل 113 </t>
  </si>
  <si>
    <t>M000509</t>
  </si>
  <si>
    <t xml:space="preserve">السيد /داود </t>
  </si>
  <si>
    <t>السالميه -ق 12 -شارع ابوهريره -رقم العقار 6 - الالي 19976097</t>
  </si>
  <si>
    <t>M000510</t>
  </si>
  <si>
    <t xml:space="preserve">وليد عبدالله السعيد </t>
  </si>
  <si>
    <t>الرميثية ــ  ق 4  ــ  ش 43 ــ  م 9 - الرقك الآلي 11750464</t>
  </si>
  <si>
    <t>تايسون</t>
  </si>
  <si>
    <t>M000511</t>
  </si>
  <si>
    <t>أمبريال بلو للتجارة العامة والمقاولات</t>
  </si>
  <si>
    <t>67774947</t>
  </si>
  <si>
    <t>99296589 رقم الحارس</t>
  </si>
  <si>
    <t>حولي - شارع المثني -قسيمة 13 - الرقم الآلي 93885353</t>
  </si>
  <si>
    <t>شركة أمبريال بلو للتجارة العامة والمقاولات</t>
  </si>
  <si>
    <t>مونتناري + GEM</t>
  </si>
  <si>
    <t>M000512</t>
  </si>
  <si>
    <t>55730552</t>
  </si>
  <si>
    <t>ميدان حولي -قطعه 11- شارع عبدالرازق -قسيمة47 - الرقم الآلي 94326916</t>
  </si>
  <si>
    <t>M000513</t>
  </si>
  <si>
    <t>مشعل عبدالله مطلق</t>
  </si>
  <si>
    <t>65552821</t>
  </si>
  <si>
    <t>شرق تيماء- قطعه9  – قسيمه 43</t>
  </si>
  <si>
    <t>M000514</t>
  </si>
  <si>
    <t>شيخة مبارك سعود الحجرف</t>
  </si>
  <si>
    <t>66202397</t>
  </si>
  <si>
    <t>:   الرقعي -ق 2-شارع21- قسيمه 1519- الرقم الآلي 149197112</t>
  </si>
  <si>
    <t>M000515</t>
  </si>
  <si>
    <t>66046335 رقم الحارس</t>
  </si>
  <si>
    <t>حولي - مسرح حولي – ق 7 – ش 320- م 5930 - الرقم الآلي 92831548</t>
  </si>
  <si>
    <t>M000516</t>
  </si>
  <si>
    <t>67053748</t>
  </si>
  <si>
    <t xml:space="preserve">وزارة الدفاع </t>
  </si>
  <si>
    <t>M000518</t>
  </si>
  <si>
    <t xml:space="preserve">حولي - ق 11 - ش 177 -قسيمة 45 </t>
  </si>
  <si>
    <t>M000519</t>
  </si>
  <si>
    <t>ميدان حولي 9 - ق 11 ــــ شارع ( أحد ) عماره بجانب عقد 435 - الرقم الآلي 93288962</t>
  </si>
  <si>
    <t>M000520</t>
  </si>
  <si>
    <t>براك نبيل الفضل</t>
  </si>
  <si>
    <t xml:space="preserve">أبوفطيره – قطعه 4 – شارع 252 – منزل 302 </t>
  </si>
  <si>
    <t>M000522</t>
  </si>
  <si>
    <t>نوال دخيل الجسار</t>
  </si>
  <si>
    <t>الدسمة -قطعه 6 - شارع 63 - منزل 10</t>
  </si>
  <si>
    <t>M000538</t>
  </si>
  <si>
    <t>الشيخ / فهد جابر العلي الصباح</t>
  </si>
  <si>
    <t>50247475</t>
  </si>
  <si>
    <t>المسايل - قطعه 1 - قسيمة 202- شارع 111- منزل 47 - الرقم الالي 94183425</t>
  </si>
  <si>
    <t>المسايل</t>
  </si>
  <si>
    <t>M000539</t>
  </si>
  <si>
    <t>97389643 ر قم الحارس</t>
  </si>
  <si>
    <t>الفنيطيس - قطعه 7 - شارع 705 - م 10 الرقم الالي 20675128</t>
  </si>
  <si>
    <t>M000540</t>
  </si>
  <si>
    <t>97389643 رقم الحارس</t>
  </si>
  <si>
    <t>الفنيطيس - قطعه 7 - قسيمة 119 - شارع705- م 19 - الرقم الالي 20675072</t>
  </si>
  <si>
    <t>M000541</t>
  </si>
  <si>
    <t>الفنيطيس - قطعه 7 - قسيمة 117 - شارع705-م17 -الرقم الالي 20675101</t>
  </si>
  <si>
    <t>M000542</t>
  </si>
  <si>
    <t>97389643 ابوطه</t>
  </si>
  <si>
    <t>الفنيطيس - قطعه 7 - قسيمة 115 - شارع705- م15 - الرقم الالي 20674432</t>
  </si>
  <si>
    <t>M000543</t>
  </si>
  <si>
    <t>الجابرية - قطعه 10 - قسيمة 384- شارع 6- الرقم الالي 91581567</t>
  </si>
  <si>
    <t>M000544</t>
  </si>
  <si>
    <t>الجابرية - قطعه 10 - قسيمة 383- شارع 6 الرقم الالي 91581567</t>
  </si>
  <si>
    <t>M000545</t>
  </si>
  <si>
    <t>الجابرية - قطعه 10 - قسيمة 385- شارع 6-الرقم الالي 91581583</t>
  </si>
  <si>
    <t>M000546</t>
  </si>
  <si>
    <t>الجابرية - قطعه 10 - قسيمة 456- م 27 الرقم الالي 15177087</t>
  </si>
  <si>
    <t>Combl S.A</t>
  </si>
  <si>
    <t>M000547</t>
  </si>
  <si>
    <t>الجابرية - قطعه 10 - قسيمة 457- م 44 - الرقم الآلي 15177095</t>
  </si>
  <si>
    <t>M000548</t>
  </si>
  <si>
    <t>66391541</t>
  </si>
  <si>
    <t>الجابرية - قطعه 12 - قسيمة 130- شارع 101 الرقم الالي 12188346</t>
  </si>
  <si>
    <t>SILVESTRY</t>
  </si>
  <si>
    <t>M000549</t>
  </si>
  <si>
    <t>99504205</t>
  </si>
  <si>
    <t>السالمية - قطعه 5 - قسيمة 8 - شارع 5 الرقم الالي 92762423</t>
  </si>
  <si>
    <t>M000550</t>
  </si>
  <si>
    <t>94137705 رقم الحارس</t>
  </si>
  <si>
    <t>صباح السالم - قطعه 2 - قسيمة 284- شارع 208- الرقم الالي 94423943</t>
  </si>
  <si>
    <t>M000551</t>
  </si>
  <si>
    <t>خيران - قطعه 1 - قسيمة 395 الفيصل الرقم الالي 95291305</t>
  </si>
  <si>
    <t>M000553</t>
  </si>
  <si>
    <t>51594941 رقم الحارس</t>
  </si>
  <si>
    <t>السالمية - قطعه 6 - شارع 5 - جاده 11 - منزل 15 - الرقم الآلي 19705625</t>
  </si>
  <si>
    <t>M000554</t>
  </si>
  <si>
    <t>علي محمد جواد عريان</t>
  </si>
  <si>
    <t>66082891</t>
  </si>
  <si>
    <t>66082891 رقم الحارس</t>
  </si>
  <si>
    <t>السالمية – قطعه 6- شارع 8 – جادة 2- منزل 21 - الرقم الآلي 90251769</t>
  </si>
  <si>
    <t>M000555</t>
  </si>
  <si>
    <t>خالد محمد  عبد الغفور الكندري</t>
  </si>
  <si>
    <t>99769718 رقم الحارس</t>
  </si>
  <si>
    <t xml:space="preserve">الاندلس - قطعه 7 -شارع 6- منزل 39 </t>
  </si>
  <si>
    <t>الاندلس</t>
  </si>
  <si>
    <t>M000556</t>
  </si>
  <si>
    <t>55303757</t>
  </si>
  <si>
    <t xml:space="preserve">المهبولة - قطعه 1 -شارع 127- منزل 18 الرقم الالي 93274595 </t>
  </si>
  <si>
    <t>M000557</t>
  </si>
  <si>
    <t>ورثة المرحوم مجبل عوض العازمي</t>
  </si>
  <si>
    <t>55598681</t>
  </si>
  <si>
    <t>مبارك الكبير - قطعه 1 - شارع 14- منزل 19- الرقم الآلي 15061084</t>
  </si>
  <si>
    <t>M000558</t>
  </si>
  <si>
    <t>فضة محمد الكحيلان</t>
  </si>
  <si>
    <t>رقم الحارس 66904251</t>
  </si>
  <si>
    <t>اليرموك – قطعة 1 – ش صالح عبدالرحمن العبدلي - جادة 1 - منزل 18 - الرقم الآلي 12046399</t>
  </si>
  <si>
    <t>M000559</t>
  </si>
  <si>
    <t>اسامة عدنان الحمر</t>
  </si>
  <si>
    <t>'94033370</t>
  </si>
  <si>
    <t>سلوي - ق10- شارع 6 - منزل 532- الرقم الآلي 15182644</t>
  </si>
  <si>
    <t xml:space="preserve">أسامة عدنان الحمر </t>
  </si>
  <si>
    <t>M000560</t>
  </si>
  <si>
    <t>شركة الربيعة المتحدة للتجارة العامة وإدارة أملاك الغير</t>
  </si>
  <si>
    <t>96916797</t>
  </si>
  <si>
    <t>الفروانية - ق 5- شارع 105- برج الجابر - قسيمة 111-الرقم الالي 95666701</t>
  </si>
  <si>
    <t>M000561</t>
  </si>
  <si>
    <t xml:space="preserve"> 97202848</t>
  </si>
  <si>
    <t>9691679</t>
  </si>
  <si>
    <t>الفروانية - ق 5- شارع 105- برج الجابر - قسيمة 112-الرقم الالي 95666728</t>
  </si>
  <si>
    <t>M000562</t>
  </si>
  <si>
    <t>احمد مطلق المطيري</t>
  </si>
  <si>
    <t>58855553</t>
  </si>
  <si>
    <t>الفردوس قطعه 4 - شارع 1 - جاده 6 - منزل 2</t>
  </si>
  <si>
    <t>الفردوس</t>
  </si>
  <si>
    <t>NOVA</t>
  </si>
  <si>
    <t>M000563</t>
  </si>
  <si>
    <t>فواز فيصل سعود شاهين الغانم</t>
  </si>
  <si>
    <t>99004871</t>
  </si>
  <si>
    <t>94443680</t>
  </si>
  <si>
    <t xml:space="preserve">الفروانية - ق 4- ش 117- عمارة 6 الرقم الالي 90574541 </t>
  </si>
  <si>
    <t>نوفا + مونتناري</t>
  </si>
  <si>
    <t>M000565</t>
  </si>
  <si>
    <t>خالد علي احمد الشويب</t>
  </si>
  <si>
    <t>99692060</t>
  </si>
  <si>
    <t xml:space="preserve">السالمية - ق 10 عماره 4 بجانب الحديقة منزل علي الزاوية </t>
  </si>
  <si>
    <t>M000567</t>
  </si>
  <si>
    <t>طلال علي احمد الشويب</t>
  </si>
  <si>
    <t>94409305</t>
  </si>
  <si>
    <t xml:space="preserve">الفروانية - ق4 - شارع 118- قسيمة 40 الرقم الالي 92908453 </t>
  </si>
  <si>
    <t>M000568</t>
  </si>
  <si>
    <t>عيسي علي عبد الرحمن الحساوي</t>
  </si>
  <si>
    <t>99586273</t>
  </si>
  <si>
    <t>99375212 رقم الحارس</t>
  </si>
  <si>
    <t>الفروانية - ق6 -شارع 103- عمارة 113- الرقم الآلي 90581742 - 12589991</t>
  </si>
  <si>
    <t>M000569</t>
  </si>
  <si>
    <t>50332011 رقم الحارس</t>
  </si>
  <si>
    <t xml:space="preserve"> الرقعي  قطعة 1  شارع 12 - قسائم 22,21,20 - الرقم الالي 92501709</t>
  </si>
  <si>
    <t>M000573</t>
  </si>
  <si>
    <t>60663256 رقم الحارس</t>
  </si>
  <si>
    <t>صباح السالم -ق 2 - ش 214- منزل 228 - الرقم الآلي 95370783</t>
  </si>
  <si>
    <t>M000574</t>
  </si>
  <si>
    <t>الشيخة انتصار جاسم محمد الصباح</t>
  </si>
  <si>
    <t>55400080 رقم الحارس</t>
  </si>
  <si>
    <t>الفنيطيس - ق 9- شارع 43- منزل 18 - الرقم الآلي 13349607</t>
  </si>
  <si>
    <t>M000575</t>
  </si>
  <si>
    <t>خالد محمد سليمان السنين</t>
  </si>
  <si>
    <t>67731570 رقم الحارس</t>
  </si>
  <si>
    <t>الفروانية - ق 5- ش 6- م 241- الرقم الآلي 90577347</t>
  </si>
  <si>
    <t>M000576</t>
  </si>
  <si>
    <t>ورثة المرحوم / خليل عدنان الحمر</t>
  </si>
  <si>
    <t>ايمن</t>
  </si>
  <si>
    <t>صباح الأحمد - ق c2 - قسيمة 111</t>
  </si>
  <si>
    <t>صباح الاحمد</t>
  </si>
  <si>
    <t>M000577</t>
  </si>
  <si>
    <t>فهد عيا المطيري</t>
  </si>
  <si>
    <t>90955522</t>
  </si>
  <si>
    <t>الجهراء - القصر - ق 4 أ - جاده 6- منزل 8</t>
  </si>
  <si>
    <t>M000578</t>
  </si>
  <si>
    <t>غرب عبد الله المبارك – ق (2) – شارع 204– قسيمة 17</t>
  </si>
  <si>
    <t>M000579</t>
  </si>
  <si>
    <t>عبدالعزيز خلف مال الله</t>
  </si>
  <si>
    <t>97607555</t>
  </si>
  <si>
    <t>ضاحية مبارك العبد الله -ق3- ش302-م 585 - الالي 17720434</t>
  </si>
  <si>
    <t>غرب مشرف</t>
  </si>
  <si>
    <t>M000580</t>
  </si>
  <si>
    <t xml:space="preserve">شركة الفلاح العالمية للتجارة العامة </t>
  </si>
  <si>
    <t>66780435</t>
  </si>
  <si>
    <t>50773045 رقم الحارس</t>
  </si>
  <si>
    <t>الري - ش حمد راشد - محل رقم 5- قسيمة 1601 الرقم الالي 90587676</t>
  </si>
  <si>
    <t>الري</t>
  </si>
  <si>
    <t xml:space="preserve">رومليس </t>
  </si>
  <si>
    <t>M000582</t>
  </si>
  <si>
    <t>شيخة انتصار جاسم محمد الصباح</t>
  </si>
  <si>
    <t>99448888</t>
  </si>
  <si>
    <t>65762878 رقم الحارس</t>
  </si>
  <si>
    <t>ابوحليفة - ق 1 - ش 2 - م 15 - رقم آلى 94438176</t>
  </si>
  <si>
    <t>M000583</t>
  </si>
  <si>
    <t>97958211</t>
  </si>
  <si>
    <t>الفروانية - ق 5 - شارع 105- قسيمة 15 ش 119- الرقم الالي 91762288</t>
  </si>
  <si>
    <t>M000584</t>
  </si>
  <si>
    <t>مكتب فيصل مزيد المسعود</t>
  </si>
  <si>
    <t>97429611</t>
  </si>
  <si>
    <t>66294848 رقم الحارس</t>
  </si>
  <si>
    <t>الجهراء - ق 90- الشارع الثاني - بناية 30 - الرقم الآلي 93099803</t>
  </si>
  <si>
    <t>M000585</t>
  </si>
  <si>
    <t>فيصل مزيد المسعود</t>
  </si>
  <si>
    <t xml:space="preserve">97429611 رقم الحارس </t>
  </si>
  <si>
    <t>الفحيحيل -  ق8 -ش37- منزل 16-17 - الرقم الآلي 93290077</t>
  </si>
  <si>
    <t>M000588</t>
  </si>
  <si>
    <t>حسين علي محمد الرمضان</t>
  </si>
  <si>
    <t>99653635</t>
  </si>
  <si>
    <t>الفنطاس - ق 4 - ش4- منزل 12 - الرقم الآلي 15891387</t>
  </si>
  <si>
    <t>M000589</t>
  </si>
  <si>
    <t>فيصل عبدالله بن زيد الغضوري</t>
  </si>
  <si>
    <t>إشبيلية  – ش 403-م 44 - الرقم الآلي 19136506</t>
  </si>
  <si>
    <t>فوجي</t>
  </si>
  <si>
    <t>M000590</t>
  </si>
  <si>
    <t>95515555 رقم الحارس</t>
  </si>
  <si>
    <t>إشبيلية  –ش 403- م 41 - الرقم الآلي 19942858</t>
  </si>
  <si>
    <t>M000591</t>
  </si>
  <si>
    <t xml:space="preserve"> سما كابيتال العالمية لبيع وشراء الأراضي والعقارات </t>
  </si>
  <si>
    <t>50749682 رقم الحارس</t>
  </si>
  <si>
    <t xml:space="preserve"> السالمية  قطعة 3  شارع سعيد بن مسيب   منزل 12 - الرقم الالي 19893814</t>
  </si>
  <si>
    <t>M000593</t>
  </si>
  <si>
    <t>60014797 رقم الحارس</t>
  </si>
  <si>
    <t>السالمية - ق 6 - ش البحرين متفرع من شارع العوازم - الرقم الآلي 90250803</t>
  </si>
  <si>
    <t>M000596</t>
  </si>
  <si>
    <t>الشيخة لطيفة داود سلمان الصباح</t>
  </si>
  <si>
    <t>51652333</t>
  </si>
  <si>
    <t>رقم الحارس 941170805</t>
  </si>
  <si>
    <t>بيان – ق2 – ش 14 – م 25</t>
  </si>
  <si>
    <t>M000599</t>
  </si>
  <si>
    <t>أحمد خالد فهد الياقوت</t>
  </si>
  <si>
    <t>67745807</t>
  </si>
  <si>
    <t>67745807 رقم الحارس</t>
  </si>
  <si>
    <t xml:space="preserve">سلوى – ق9 – ش5 – م 8 - الرقم الالي 15015213 </t>
  </si>
  <si>
    <t>M000603</t>
  </si>
  <si>
    <t xml:space="preserve">شركة الشاهد لإدارة وتأجير العقارات </t>
  </si>
  <si>
    <t xml:space="preserve">99795020 </t>
  </si>
  <si>
    <t>50538909 رقم الحارس</t>
  </si>
  <si>
    <t>الفنطاس -ق 3-ش 102 مجمع الشاهين عمارة 1 - الرقم الآلي 92923696</t>
  </si>
  <si>
    <t>M000604</t>
  </si>
  <si>
    <t>97435681 رقم الحارس</t>
  </si>
  <si>
    <t>الفنطاس -ق 3-ش 102 مجمع الشاهين عمارة2 - الرقم الآلي 92923696</t>
  </si>
  <si>
    <t>M000605</t>
  </si>
  <si>
    <t>99296112 رقم الحارس</t>
  </si>
  <si>
    <t>الفنطاس -ق 3-ش 102 مجمع الشاهين عمارة 3 - الرقم الآلي 92923696</t>
  </si>
  <si>
    <t>M000606</t>
  </si>
  <si>
    <t>67605114</t>
  </si>
  <si>
    <t>الفنطاس -ق 3-ش 102 مجمع الشاهين عمارة 4</t>
  </si>
  <si>
    <t>M000607</t>
  </si>
  <si>
    <t xml:space="preserve">الفنطاس -ق 3-ش 102 مجمع الشاهين عمارة 5 الرقم الالي 19483006 </t>
  </si>
  <si>
    <t>M000608</t>
  </si>
  <si>
    <t>66227926</t>
  </si>
  <si>
    <t xml:space="preserve">الفنطاس -ق 3-ش 102 مجمع الشاهين عمارة 6 الرقم الالي 16842691 </t>
  </si>
  <si>
    <t>M000609</t>
  </si>
  <si>
    <t>99343129</t>
  </si>
  <si>
    <t xml:space="preserve">الفنطاس -ق 3-ش 102 مجمع الشاهين عمارة 7 الرقم الالي 92923696 </t>
  </si>
  <si>
    <t>M000610</t>
  </si>
  <si>
    <t xml:space="preserve">اولاد سيد هاشم بهبهاني </t>
  </si>
  <si>
    <t>97139500</t>
  </si>
  <si>
    <t>41011653 رقم الحارس</t>
  </si>
  <si>
    <t>حولي - شارع بيروت -مجمع هاشم بهبهاني - الرقم الآلي 10982255</t>
  </si>
  <si>
    <t>M000611</t>
  </si>
  <si>
    <t>مرتضي علي عبدالله المسلم</t>
  </si>
  <si>
    <t>94032244</t>
  </si>
  <si>
    <t xml:space="preserve">شمال غرب الصليبيخات -ق 1- ش 146- م - 475 </t>
  </si>
  <si>
    <t>M000613</t>
  </si>
  <si>
    <t>وليد محمد الزير</t>
  </si>
  <si>
    <t>99026263</t>
  </si>
  <si>
    <t>العدان – ق6 – ش5 -م 21</t>
  </si>
  <si>
    <t>M000614</t>
  </si>
  <si>
    <t xml:space="preserve">شركة سادن العقارية </t>
  </si>
  <si>
    <t>96641006</t>
  </si>
  <si>
    <t>ميدان حولي – ق 11- ش حمود الناصر -جادة 10-م 8</t>
  </si>
  <si>
    <t>M000615</t>
  </si>
  <si>
    <t>السالمية – ق10-ش5 – م7</t>
  </si>
  <si>
    <t>M000617</t>
  </si>
  <si>
    <t>خالد حمدان عبدالله العتيبي</t>
  </si>
  <si>
    <t>99485485</t>
  </si>
  <si>
    <t>الصباحية – ق 4- ش 1- م 452</t>
  </si>
  <si>
    <t>الصباحية</t>
  </si>
  <si>
    <t>M000618</t>
  </si>
  <si>
    <t>نواف ساري المطيري</t>
  </si>
  <si>
    <t>94144450</t>
  </si>
  <si>
    <t xml:space="preserve">الشويخ -المنطقة الحرة -منطقة المستقبل -مبني F53 </t>
  </si>
  <si>
    <t>M000619</t>
  </si>
  <si>
    <t xml:space="preserve">ابتسام المطوع </t>
  </si>
  <si>
    <t xml:space="preserve">أبو فطيرة – ق 8 – ش 191- م 361 </t>
  </si>
  <si>
    <t>M000620</t>
  </si>
  <si>
    <t>60246083</t>
  </si>
  <si>
    <t>الفروانية -ق 5- ش104-قسيمة 84 - الرقم الآلي 93294633</t>
  </si>
  <si>
    <t>M000621</t>
  </si>
  <si>
    <t>فهد زيد الكحيلان</t>
  </si>
  <si>
    <t>حولي - ش موسي بن النصير -م 21 - الرقم الآلي 18965177</t>
  </si>
  <si>
    <t>M000622</t>
  </si>
  <si>
    <t>99661141 رقم المستأجرة</t>
  </si>
  <si>
    <t xml:space="preserve">الشهداء  – قطعة 1 – شارع 109 – منزل 14 الرقم الالي 16629647 </t>
  </si>
  <si>
    <t>M000625</t>
  </si>
  <si>
    <t>الامانة العامة للاوقاف</t>
  </si>
  <si>
    <t>66183109 رقم الحارس</t>
  </si>
  <si>
    <t>قطعة 8 - شارع 259 عقار 1556 - الرقم الآلي 90214669</t>
  </si>
  <si>
    <t>M000626</t>
  </si>
  <si>
    <t>55450197 رقم الحارس</t>
  </si>
  <si>
    <t xml:space="preserve"> قطعة 11 -  شارع  وسيل ابن العطى - م 10 عقار 1561 - الرقم الآلي 90265511</t>
  </si>
  <si>
    <t>M000627</t>
  </si>
  <si>
    <t>99421557</t>
  </si>
  <si>
    <t>قطعة 2 - شارع 63 عقار 1563 - الرقم الآلي 91508335</t>
  </si>
  <si>
    <t>M000628</t>
  </si>
  <si>
    <t>99318313</t>
  </si>
  <si>
    <t>قطعة 6 - شارع العوازم - جادة 10 - م 2 1687 - الرقم الآلي 90250299</t>
  </si>
  <si>
    <t>M000630</t>
  </si>
  <si>
    <t>97663707 رقم الحارس</t>
  </si>
  <si>
    <t>قطعة 1 - شارع 16 عقار 2560 - الرقم الآلي 90199067</t>
  </si>
  <si>
    <t>M000631</t>
  </si>
  <si>
    <t>90943631 رقم الحارس</t>
  </si>
  <si>
    <t xml:space="preserve"> قطعة 11-شارع عبدالله الفضالة -جادة 17  م 12 عقار 4533 - الرقم الآلي 90270222</t>
  </si>
  <si>
    <t>M000632</t>
  </si>
  <si>
    <t>96732554 رقم الحارس</t>
  </si>
  <si>
    <t>قطعة 3B - شارع 6 - م 8 عقار 4703 - الرقم الآلي 90506661</t>
  </si>
  <si>
    <t>M000633</t>
  </si>
  <si>
    <t>97153077 رقم الحارس</t>
  </si>
  <si>
    <t>قطعة 3B - شارع 7 - م 37 عقار 4705 - الرقم الآلي 90507162</t>
  </si>
  <si>
    <t>M000634</t>
  </si>
  <si>
    <t>94412134</t>
  </si>
  <si>
    <t>قطعة 3B - شارع 1 - م 36 عقار 4721 - الرقم الآلي 92052755 - 90506426</t>
  </si>
  <si>
    <t>M000635</t>
  </si>
  <si>
    <t>99263583 رقم الحارس</t>
  </si>
  <si>
    <t>قطعة 12 - شارع 3 - م 12 عقار 1637 - الرقم الآلي 90280068</t>
  </si>
  <si>
    <t>M000636</t>
  </si>
  <si>
    <t>55227670</t>
  </si>
  <si>
    <t>قطعة 6 -  شارع العوازم - جادة 4 - م 23 قسيمة 143/30 عقار 1654 - الرقم الآلي 90250192</t>
  </si>
  <si>
    <t>M000637</t>
  </si>
  <si>
    <t>98955156 رقم الحارس</t>
  </si>
  <si>
    <t>قطعة 3 - شارع 95 عقار 2569 - الرقم الآلي 90205682</t>
  </si>
  <si>
    <t>M000638</t>
  </si>
  <si>
    <t>51418146 رقم الحارس</t>
  </si>
  <si>
    <t>قطعة 12 - شارع 5 - م 6 عقار 2638 - الرقم الآلي 90280367</t>
  </si>
  <si>
    <t>M000639</t>
  </si>
  <si>
    <t>قطعة 12 - شارع 5 - م 8 عقار 2641 - الرقم الآلي 90280375</t>
  </si>
  <si>
    <t>M000640</t>
  </si>
  <si>
    <t>60477640</t>
  </si>
  <si>
    <t>قطعة 5 - شارع 3 - جادة 6 - م 5 قسيمة 11908 عقار 1662 - الرقم الآلي 90246628</t>
  </si>
  <si>
    <t>M000641</t>
  </si>
  <si>
    <t>97543509</t>
  </si>
  <si>
    <t>قطعة 4 - شارع 12 - م 45 عقار 1778 - الرقم الآلي 90701491</t>
  </si>
  <si>
    <t>M000642</t>
  </si>
  <si>
    <t>قطعة 3B - شارع 7 - م 35 عقار 2706 - الرقم الآلي 90507154</t>
  </si>
  <si>
    <t>M000643</t>
  </si>
  <si>
    <t>65725257</t>
  </si>
  <si>
    <t>قطعة 6 - شارع قطر - م 13 قسيمة 15491 عقار 3672 - الرقم الآلي 92052755</t>
  </si>
  <si>
    <t>M000646</t>
  </si>
  <si>
    <t>شركة برايم جروب للمقاولات العامة للمباني والمقاولات الزراعية</t>
  </si>
  <si>
    <t>66362831</t>
  </si>
  <si>
    <t>العقيلة - ق 3 - ش 328- م 845</t>
  </si>
  <si>
    <t>العقلية</t>
  </si>
  <si>
    <t>M000647</t>
  </si>
  <si>
    <t>خالد حمد عبد الله الصبيح</t>
  </si>
  <si>
    <t>99774442</t>
  </si>
  <si>
    <t>م/محمد - 51353530</t>
  </si>
  <si>
    <t>السالمية - ق 12 -ش أبو زر الغفاري - الرقم الآلي 92349823</t>
  </si>
  <si>
    <t>M000648</t>
  </si>
  <si>
    <t xml:space="preserve">فتوح عبدالعزيز عبدالكريم </t>
  </si>
  <si>
    <t>98732141</t>
  </si>
  <si>
    <t>98732141 رقم الحارس</t>
  </si>
  <si>
    <t>السالمية - ق 12-عمارة 13-طريق عبدالعزيز بن عبدالرحمن ال سعود -الرقم الالي 90275621</t>
  </si>
  <si>
    <t>M000649</t>
  </si>
  <si>
    <t>استاذ ثامر حسين الزعتري</t>
  </si>
  <si>
    <t>99713479</t>
  </si>
  <si>
    <t>صباح الأحمد - السكنية D2 قسيمة 381</t>
  </si>
  <si>
    <t>M000650</t>
  </si>
  <si>
    <t>66168182 رقم الحارس</t>
  </si>
  <si>
    <t>اشبيلية -ق 3 - ش 316 - م 9 - الرقم الآلي 17423181</t>
  </si>
  <si>
    <t>M000651</t>
  </si>
  <si>
    <t>شروق الهزيم</t>
  </si>
  <si>
    <t>66883144</t>
  </si>
  <si>
    <t xml:space="preserve">المنصورية – ق2 – شارع عيسى عبد الله بهمن – م 8  </t>
  </si>
  <si>
    <t>M000652</t>
  </si>
  <si>
    <t>ق 12 ش عمان متفرع منه ش ناصر البدر جادة 1 اعيان 19 - الالي 93665027</t>
  </si>
  <si>
    <t>M000653</t>
  </si>
  <si>
    <t>شركة برايم جروب</t>
  </si>
  <si>
    <t>M000654</t>
  </si>
  <si>
    <t>أبو فطيرة – ق 4 – ش 249- م 9 - 380</t>
  </si>
  <si>
    <t>M000655</t>
  </si>
  <si>
    <t xml:space="preserve">دكتور فهد دهش غنيم الرشيدي </t>
  </si>
  <si>
    <t>90005502 رقم الحارس</t>
  </si>
  <si>
    <t>العارضية - ق 4 - ش 5 - قسيمة 7 - م 33 - الرقم الالي 12808787</t>
  </si>
  <si>
    <t>M000656</t>
  </si>
  <si>
    <t>أنور عبدالرحيم محمد عبد الغفور</t>
  </si>
  <si>
    <t>97213130 رقم الحارس</t>
  </si>
  <si>
    <t xml:space="preserve"> الفروانية  قطعة 1  شارع 124  منزل 1  </t>
  </si>
  <si>
    <t>أنور عبد الرحيم محمد عبد الغفور</t>
  </si>
  <si>
    <t>M000657</t>
  </si>
  <si>
    <t>97557016 رقم الحارس</t>
  </si>
  <si>
    <t xml:space="preserve"> السالمية  شارع ابو زر الغفاري  منزل 34 - الرقم الآلي 11715909</t>
  </si>
  <si>
    <t>M000658</t>
  </si>
  <si>
    <t xml:space="preserve"> السالمية - ق12 - شارع ابوذر الغفاري- جادة 19 -  منزل 36 </t>
  </si>
  <si>
    <t>M000659</t>
  </si>
  <si>
    <t xml:space="preserve"> السالمية  شارع ابوذر الغفاري  منزل 52 - الرقم الآلي 11715909</t>
  </si>
  <si>
    <t>M000660</t>
  </si>
  <si>
    <t xml:space="preserve">علي محمد تيفوني </t>
  </si>
  <si>
    <t>66546850</t>
  </si>
  <si>
    <t>66877494 رقم الحارس</t>
  </si>
  <si>
    <t xml:space="preserve"> الجهراء قطعة رقم 5  شارع 3  قسيمة 14 </t>
  </si>
  <si>
    <t>M000661</t>
  </si>
  <si>
    <t xml:space="preserve">شركة المنار الكويتية المتحدة </t>
  </si>
  <si>
    <t>69333907</t>
  </si>
  <si>
    <t xml:space="preserve"> خيطان  قطعة 4 قسيمة 469 الرقم الآلي 93273701</t>
  </si>
  <si>
    <t>14</t>
  </si>
  <si>
    <t>M000662</t>
  </si>
  <si>
    <t>51728377 رقم الحارس</t>
  </si>
  <si>
    <t>المنقف - ق 4 - ش25- عمارة 54</t>
  </si>
  <si>
    <t>M000663</t>
  </si>
  <si>
    <t xml:space="preserve">ساجدة كاظم احمد </t>
  </si>
  <si>
    <t>90085480</t>
  </si>
  <si>
    <t>99127598 رقم الحارس</t>
  </si>
  <si>
    <t xml:space="preserve"> الفروانية  قطعة رقم 5  شارع 105  قسيمة 82 - الرقم الآلي 92492654</t>
  </si>
  <si>
    <t>M000664</t>
  </si>
  <si>
    <t>سلوى احمد يوسف العميري</t>
  </si>
  <si>
    <t>99991633 رقم الحارس</t>
  </si>
  <si>
    <t xml:space="preserve"> جليب الشيوخ  قطعة 2  شارع 142 - الرقم الآلي 90702494</t>
  </si>
  <si>
    <t>M000665</t>
  </si>
  <si>
    <t>ورثة يوسف جاسم الحجي</t>
  </si>
  <si>
    <t>97937343</t>
  </si>
  <si>
    <t>50892724 رقم الحارس</t>
  </si>
  <si>
    <t>حولي -ق2-ش50-قسيمة 17106 - الرقم الآلي 10769673</t>
  </si>
  <si>
    <t>M000667</t>
  </si>
  <si>
    <t>60417289  رقم الحارس</t>
  </si>
  <si>
    <t xml:space="preserve"> خيطان  قطعة 4  شارع 100  منزل 98 -  الالي 94360786</t>
  </si>
  <si>
    <t>M000668</t>
  </si>
  <si>
    <t>95924199 رقم الحارس</t>
  </si>
  <si>
    <t xml:space="preserve"> خيطان  قطعة 4  شارع 98  منزل 445 - الرقم الآلي 94327273</t>
  </si>
  <si>
    <t>M000669</t>
  </si>
  <si>
    <t>60035591 رقم الحارس</t>
  </si>
  <si>
    <t xml:space="preserve"> خيطان  قطعة 4  شارع زيد النخيل   منزل 125 </t>
  </si>
  <si>
    <t>M000670</t>
  </si>
  <si>
    <t>66482838 رقم الحارس</t>
  </si>
  <si>
    <t xml:space="preserve"> خيطان  قطعة 4  شارع شارع زيد الخيل   منزل 140 - الرقم الآلي 94131473</t>
  </si>
  <si>
    <t>M000672</t>
  </si>
  <si>
    <t xml:space="preserve">مبارك محمد حمود العدواني </t>
  </si>
  <si>
    <t>99555557</t>
  </si>
  <si>
    <t xml:space="preserve"> اشبيلية  قطعة رقم 1  شارع 123  قسيمة 28</t>
  </si>
  <si>
    <t>M000674</t>
  </si>
  <si>
    <t>محمد ناصر الشهري</t>
  </si>
  <si>
    <t>99272073-55012307</t>
  </si>
  <si>
    <t>99859329</t>
  </si>
  <si>
    <t xml:space="preserve"> الفروانية  قطعة 1  شارع حبيب مناور  منزل 5  الرقم الالي 92801576 - 16580468</t>
  </si>
  <si>
    <t>M000675</t>
  </si>
  <si>
    <t>ابوفطيرة - ق1 - ش 121 قسيمة 138</t>
  </si>
  <si>
    <t>M000676</t>
  </si>
  <si>
    <t xml:space="preserve">خالد عثمان عبدالله الدخيل </t>
  </si>
  <si>
    <t>99336577</t>
  </si>
  <si>
    <t xml:space="preserve"> القادسية  قطعة رقم 6  شارع 65  قسيمة 7 - الرقم الآلي 10432747</t>
  </si>
  <si>
    <t>FAER</t>
  </si>
  <si>
    <t>M000677</t>
  </si>
  <si>
    <t>مالك حسن جاسم المعيلي</t>
  </si>
  <si>
    <t>99759959</t>
  </si>
  <si>
    <t xml:space="preserve"> مبارك الكبير  قطعة رقم 8  شارع 27  قسيمة 13 - الالي 15231397</t>
  </si>
  <si>
    <t>M000678</t>
  </si>
  <si>
    <t>بدر حمد الشايجي</t>
  </si>
  <si>
    <t>69906676</t>
  </si>
  <si>
    <t>ابوفطيرة ق8 ش198 م238</t>
  </si>
  <si>
    <t>M000680</t>
  </si>
  <si>
    <t xml:space="preserve">ابتسام محمد الصقعبي </t>
  </si>
  <si>
    <t>94418193 رقم الحارس</t>
  </si>
  <si>
    <t xml:space="preserve"> ابو حليفة - قطعة 2- شارع عبدالملك بن مروان - عمارة رقم 69 - الرقم الآلي 93119173</t>
  </si>
  <si>
    <t>ايطالي جير + سيكور</t>
  </si>
  <si>
    <t>M000681</t>
  </si>
  <si>
    <t>الفردوس– ق3 – شارع 1 – جادة 13 - م 16 - الرقم الآلي 12824293</t>
  </si>
  <si>
    <t>كنترول الوطنية OMEGA CARD</t>
  </si>
  <si>
    <t>M000682</t>
  </si>
  <si>
    <t>حسين مال الله</t>
  </si>
  <si>
    <t>99440451</t>
  </si>
  <si>
    <t xml:space="preserve"> بيان – ق 5 – شارع 2– م 2 - الالي 12011452</t>
  </si>
  <si>
    <t>M000683</t>
  </si>
  <si>
    <t>97853133 رقم الحارس</t>
  </si>
  <si>
    <t xml:space="preserve"> ابو الحصانية - ق9 - ش44 - م60 - الرقم الآلي 13350034</t>
  </si>
  <si>
    <t>ابو الحصانية</t>
  </si>
  <si>
    <t>M000684</t>
  </si>
  <si>
    <t xml:space="preserve"> حسين علي حسن</t>
  </si>
  <si>
    <t>94944440</t>
  </si>
  <si>
    <t xml:space="preserve">بيان - ق12 - ش1 - جادة 1 - منزل 7 </t>
  </si>
  <si>
    <t>M000685</t>
  </si>
  <si>
    <t>م.عبيد المطيري</t>
  </si>
  <si>
    <t>98736956-94060664</t>
  </si>
  <si>
    <t>98597544 رقم الحارس</t>
  </si>
  <si>
    <t xml:space="preserve"> حولي - ق11 شارع احمد بن طولون - م 14 - الرقم الآلي 92630084</t>
  </si>
  <si>
    <t>M000686</t>
  </si>
  <si>
    <t>66578900</t>
  </si>
  <si>
    <t>السالمية -ق 10-شارع 12-م 680- الرقم الالي 90264877</t>
  </si>
  <si>
    <t>M000687</t>
  </si>
  <si>
    <t>محمد زيد الخلف</t>
  </si>
  <si>
    <t>66406625</t>
  </si>
  <si>
    <t>جابر الأحمد -  قطعه 6 - شارع 681 منزل 72 - الرقم الآلي 20429605</t>
  </si>
  <si>
    <t>سرعتين ونكس</t>
  </si>
  <si>
    <t>M000688</t>
  </si>
  <si>
    <t>فيصل رفاعي محمد الرشيدي</t>
  </si>
  <si>
    <t>50944112</t>
  </si>
  <si>
    <t>اشبيلية - قطعة4 - ش438 - م 33 - الرقم الآلي 16050221</t>
  </si>
  <si>
    <t>ELEMOL</t>
  </si>
  <si>
    <t>M000689</t>
  </si>
  <si>
    <t>بدر وعبدالمحسن عجيل العجيل</t>
  </si>
  <si>
    <t>97374300</t>
  </si>
  <si>
    <t xml:space="preserve">الفحيحيل - ق10 - ش11 - م14 الرقم الالي 14943704 </t>
  </si>
  <si>
    <t>شندلر</t>
  </si>
  <si>
    <t>M000690</t>
  </si>
  <si>
    <t xml:space="preserve">طارق سالم ياسين الشطي </t>
  </si>
  <si>
    <t>99463006</t>
  </si>
  <si>
    <t xml:space="preserve"> صباح السالم -قطعة رقم 11  شارع 2  -مقابل جاده 7  منزل 32- الرقم الآلي 11974441</t>
  </si>
  <si>
    <t>M000691</t>
  </si>
  <si>
    <t xml:space="preserve">هديل عناد محمد الظفيري </t>
  </si>
  <si>
    <t>60989997</t>
  </si>
  <si>
    <t xml:space="preserve"> جابر الاحمد  قطعة رقم 7  شارع 719  قسيمة 864 - الرقم الآلي 21276102</t>
  </si>
  <si>
    <t>M000696</t>
  </si>
  <si>
    <t>الزهراء - ق8 - ش810 - م31 - الرقم الآلي 19062877</t>
  </si>
  <si>
    <t>M000697</t>
  </si>
  <si>
    <t>وسمية زيد الكحيلان</t>
  </si>
  <si>
    <t>51080949</t>
  </si>
  <si>
    <t>الفروانية- ق4 - ش40 الرقم الالي 92964674</t>
  </si>
  <si>
    <t>M000698</t>
  </si>
  <si>
    <t>خالد غازي عبيد الديحاني</t>
  </si>
  <si>
    <t>50000887</t>
  </si>
  <si>
    <t xml:space="preserve">عبد الله المبارك - ق5 - شارع 522 - م 22 الرقم الالي 17692285 </t>
  </si>
  <si>
    <t>M000699</t>
  </si>
  <si>
    <t>عبد الله فهيد ناصر العجمي</t>
  </si>
  <si>
    <t>65000174</t>
  </si>
  <si>
    <t>65803332</t>
  </si>
  <si>
    <t xml:space="preserve">الاحمدي - ق1 - خلف الجمعية - م 753 - </t>
  </si>
  <si>
    <t>الاحمدي</t>
  </si>
  <si>
    <t>M000700</t>
  </si>
  <si>
    <t>نبيل ابراهيم عبد الرحمن محمد جحيل</t>
  </si>
  <si>
    <t xml:space="preserve">99217861 </t>
  </si>
  <si>
    <t xml:space="preserve">المنقف - ق1 - شارع 113 - م 13 </t>
  </si>
  <si>
    <t>M000702</t>
  </si>
  <si>
    <t>علي سليمان الغنيم</t>
  </si>
  <si>
    <t xml:space="preserve"> السرة - ق2 - ش9 - م20 - الرقم الآلي 12074269</t>
  </si>
  <si>
    <t>M000703</t>
  </si>
  <si>
    <t>محمد مهدي سيد راضي حكيم</t>
  </si>
  <si>
    <t>90061600</t>
  </si>
  <si>
    <t>98971690 رقم الحارس</t>
  </si>
  <si>
    <t>ابو الحصانية - ق  10 -شارع 94 - م 12 - الرقم الآلي 13351619</t>
  </si>
  <si>
    <t>M000704</t>
  </si>
  <si>
    <t>نايف عموش جارد المطيري</t>
  </si>
  <si>
    <t>66666821</t>
  </si>
  <si>
    <t>50651641</t>
  </si>
  <si>
    <t>الصباحية - ق3 - شارع 7 - منزل 884</t>
  </si>
  <si>
    <t>M000705</t>
  </si>
  <si>
    <t>الشيخ سالم صباح سالم الصباح</t>
  </si>
  <si>
    <t xml:space="preserve">51335335 </t>
  </si>
  <si>
    <t>سلوى - ق12 - شارع7 - منزل25</t>
  </si>
  <si>
    <t>M000706</t>
  </si>
  <si>
    <t>عبدالله غلوم محمد حسن</t>
  </si>
  <si>
    <t>بيان -ق11 - ش1 - منزل 13</t>
  </si>
  <si>
    <t>EKER 8hp</t>
  </si>
  <si>
    <t>M000707</t>
  </si>
  <si>
    <t>حمود مبرك غنيم الحيص</t>
  </si>
  <si>
    <t>66019899</t>
  </si>
  <si>
    <t>غرب عبدالله مبارك - ق1 - قسيمة 464</t>
  </si>
  <si>
    <t>M000708</t>
  </si>
  <si>
    <t>عايض نايف عايض أبوخوصة العتيبي</t>
  </si>
  <si>
    <t>98814764</t>
  </si>
  <si>
    <t>ابو فطيرة- قطعة ٣ -شارع ٢٣٨ - منزل ٨</t>
  </si>
  <si>
    <t>سرعتين اوميجا</t>
  </si>
  <si>
    <t>M000709</t>
  </si>
  <si>
    <t>السالمية - ش أبو ذر الغفاري قسيمة 46 الرقم الآلى 90275592 - 11684567</t>
  </si>
  <si>
    <t>M000710</t>
  </si>
  <si>
    <t xml:space="preserve">حولي -شارع بن خلدون - مجمع ريتاج- الرقم الالي 10748549 </t>
  </si>
  <si>
    <t xml:space="preserve">سلم كهربائي </t>
  </si>
  <si>
    <t>M000711</t>
  </si>
  <si>
    <t>65563684 رقم الحارس</t>
  </si>
  <si>
    <t xml:space="preserve">  خيطان ق 9 ش 22 قسيمة 86 - الرقم الآلي 93963593</t>
  </si>
  <si>
    <t>M000712</t>
  </si>
  <si>
    <t>مناحي ناصر العصيمي</t>
  </si>
  <si>
    <t>50501919</t>
  </si>
  <si>
    <t>51396776</t>
  </si>
  <si>
    <t xml:space="preserve">عبد الله المبارك - ق1 - شارع 134 - م 29 الرقم الالي 16136826 </t>
  </si>
  <si>
    <t>M000713</t>
  </si>
  <si>
    <t>شركة رانك للتجارة العامة والمقاولات</t>
  </si>
  <si>
    <t xml:space="preserve">97536956  </t>
  </si>
  <si>
    <t>97840567</t>
  </si>
  <si>
    <t xml:space="preserve"> الري - شارع16  - قسيمة 1561- الرقم الألي 21995414</t>
  </si>
  <si>
    <t>M000714</t>
  </si>
  <si>
    <t>سلوي - ق 6- شارع 2- منزل 33</t>
  </si>
  <si>
    <t>GLOBEL</t>
  </si>
  <si>
    <t>M000715</t>
  </si>
  <si>
    <t>عبد الله أحمد الشمري</t>
  </si>
  <si>
    <t>97601686</t>
  </si>
  <si>
    <t>مشرف - ق4 شارع 3 منزل 23</t>
  </si>
  <si>
    <t>مشرف</t>
  </si>
  <si>
    <t>M000716</t>
  </si>
  <si>
    <t>يعقوب يوسف عبد الرحمن الكويران</t>
  </si>
  <si>
    <t>99815763</t>
  </si>
  <si>
    <t>98972056 رقم الحارس</t>
  </si>
  <si>
    <t>شمال الصليبخات - ق1 - شارع 106 - قسيمة 46 - الرقم الآلي 20213214</t>
  </si>
  <si>
    <t>كوني</t>
  </si>
  <si>
    <t>M000724</t>
  </si>
  <si>
    <t>أنور أحمد راشد الفزيع</t>
  </si>
  <si>
    <t>99742685</t>
  </si>
  <si>
    <t>السلام - ق 2 - ش 221 - م 33- الالي 15621045</t>
  </si>
  <si>
    <t>M000726</t>
  </si>
  <si>
    <t xml:space="preserve">علي حسين الموسي </t>
  </si>
  <si>
    <t>97797109</t>
  </si>
  <si>
    <t xml:space="preserve"> المسايل - ق 4 -  شارع 402 - قسيمة 53 - الرقم الآلي 19677003</t>
  </si>
  <si>
    <t>M000727</t>
  </si>
  <si>
    <t xml:space="preserve">سلوي ق 12 ش 5 م 202 الرقم الالي 14692423 </t>
  </si>
  <si>
    <t>M000728</t>
  </si>
  <si>
    <t>55666129 رقم الحارس</t>
  </si>
  <si>
    <t>السالمية - ق12 - شارع أبوهريرة -  جادة 11 - منزل 3 - الرقم الآلي 19920843</t>
  </si>
  <si>
    <t>M000729</t>
  </si>
  <si>
    <t>صالح مبارك العجمي</t>
  </si>
  <si>
    <t>99455677</t>
  </si>
  <si>
    <t>صباح الأحمد - ق4 - شارع 422 - منزل 19 - قسيمة 273</t>
  </si>
  <si>
    <t>M000730</t>
  </si>
  <si>
    <t>د.محمد سليمان الحداد</t>
  </si>
  <si>
    <t>99905995</t>
  </si>
  <si>
    <t>عبد الله السالم - قطعة1 - شارع 21 - منزل 31 - الالي 10410177</t>
  </si>
  <si>
    <t>1</t>
  </si>
  <si>
    <t>M000731</t>
  </si>
  <si>
    <t>66566408</t>
  </si>
  <si>
    <t>50164400 رقم الحارس</t>
  </si>
  <si>
    <t>الزهراء - قطعة 6 - شارع 604 - منزل 13 - الرقم الآلي 20329807</t>
  </si>
  <si>
    <t>M000732</t>
  </si>
  <si>
    <t xml:space="preserve">مبارك عوض مطلق المطيري </t>
  </si>
  <si>
    <t xml:space="preserve">50886013 </t>
  </si>
  <si>
    <t>97730834رقم الحارس</t>
  </si>
  <si>
    <t>الفروانية - قطعة 1 - قسيمة 5111- الرقم الآلي 90569064</t>
  </si>
  <si>
    <t>M000733</t>
  </si>
  <si>
    <t xml:space="preserve">شركة سما كابيتال العالمية لبيع وشراء الأراضي والعقارات </t>
  </si>
  <si>
    <t>60972020 رقم الحارس</t>
  </si>
  <si>
    <t xml:space="preserve"> الجابرية  قطعة A3  شارع 3  منزل 48 - الرقم الآلي 94027641</t>
  </si>
  <si>
    <t>M000735</t>
  </si>
  <si>
    <t>رقم الحارس 99202547</t>
  </si>
  <si>
    <t>السالمية - قطعة 10 - شارع عيسى القطامي- جادة 3 - منزل 14 - الرقم الآلي 93107957</t>
  </si>
  <si>
    <t>M000737</t>
  </si>
  <si>
    <t xml:space="preserve">شركة العقيلة الوطنية للتجارة العامة والمقاولات          </t>
  </si>
  <si>
    <t>66955474</t>
  </si>
  <si>
    <t>الشويخ الصناعية  الثالثة-ق أ - شارع 78- قسيمة 97-99-الالي 10612529</t>
  </si>
  <si>
    <t>M000738</t>
  </si>
  <si>
    <t>محمد عبد الله فالح الدوسري</t>
  </si>
  <si>
    <t>55559322</t>
  </si>
  <si>
    <t>عبد الله المبارك - قطعة 8 - شارع 822 - م 8 - الرقم الآلي 16209861</t>
  </si>
  <si>
    <t>لينوفو</t>
  </si>
  <si>
    <t>M000739</t>
  </si>
  <si>
    <t>محمد عقيل  بستكي</t>
  </si>
  <si>
    <t>99650848</t>
  </si>
  <si>
    <t>الروضة - ق1 - شارع 12 - م 3 - الآلي 10675781</t>
  </si>
  <si>
    <t xml:space="preserve">الروضة </t>
  </si>
  <si>
    <t>M000740</t>
  </si>
  <si>
    <t>محمد عبد الرحمن علي الدعيج</t>
  </si>
  <si>
    <t>97177892</t>
  </si>
  <si>
    <t>القادسية - ق9 - شارع 95 - منزل 26 - الرقم الآلي 10441205</t>
  </si>
  <si>
    <t>M000741</t>
  </si>
  <si>
    <t xml:space="preserve"> الجابرية  قطعة 3ب  شارع 11  قسيمة 42 - الرقم الآلي 94207167</t>
  </si>
  <si>
    <t>M000743</t>
  </si>
  <si>
    <t>97242413-667274</t>
  </si>
  <si>
    <t xml:space="preserve"> الفحاحيل  قطعة 8  شارع 37  منزل 19 - الرقم الالي 93096493</t>
  </si>
  <si>
    <t xml:space="preserve">ماكينة 6 حصان </t>
  </si>
  <si>
    <t>M000744</t>
  </si>
  <si>
    <t>عيسى علي خليفة الخلفان</t>
  </si>
  <si>
    <t>65144439</t>
  </si>
  <si>
    <t>الزهراء ق 5 شارع 507 منزل 14</t>
  </si>
  <si>
    <t>M000745</t>
  </si>
  <si>
    <t>السالمية - ق 12 -  شارع ناصر البدر - جادة - منزل 14 - الرقم الآلي 94308232</t>
  </si>
  <si>
    <t>M000746</t>
  </si>
  <si>
    <t>جاسم خالد عبد العزيز السعدون</t>
  </si>
  <si>
    <t>60006636-99856665</t>
  </si>
  <si>
    <t>99594278 رقم الحارس</t>
  </si>
  <si>
    <t>الخالدية - ق3 - شارع سالم بن علي - م8</t>
  </si>
  <si>
    <t>اشتال</t>
  </si>
  <si>
    <t>M000747</t>
  </si>
  <si>
    <t xml:space="preserve">علي حسن علي الصراف </t>
  </si>
  <si>
    <t>66443555</t>
  </si>
  <si>
    <t>السره قطعه 2 شارع 6 منزل 55</t>
  </si>
  <si>
    <t xml:space="preserve">microlift </t>
  </si>
  <si>
    <t xml:space="preserve">مصعد ركاب&amp;مصعد طعام </t>
  </si>
  <si>
    <t>M000748</t>
  </si>
  <si>
    <t>حسين أحمد محمد البغلي</t>
  </si>
  <si>
    <t>97974438- 99019043</t>
  </si>
  <si>
    <t>99019043 رقم جديد للمالك</t>
  </si>
  <si>
    <t>الجابرية - ق8 - ش 13 - م 2</t>
  </si>
  <si>
    <t>سيكور</t>
  </si>
  <si>
    <t>M000749</t>
  </si>
  <si>
    <t>حسن جاسم محمد جعفر</t>
  </si>
  <si>
    <t>94747877</t>
  </si>
  <si>
    <t>العدان - قطعة 2 - شارع 50 - قسيمة 529 - منزل 32 -- الرقم الآلي 14787764</t>
  </si>
  <si>
    <t>للركاب</t>
  </si>
  <si>
    <t>8 حصان ايطالي</t>
  </si>
  <si>
    <t>M000750</t>
  </si>
  <si>
    <t xml:space="preserve">فاطمة ناصر صقر الدويلة </t>
  </si>
  <si>
    <t>51407000</t>
  </si>
  <si>
    <t>69930861 رقم الحارس</t>
  </si>
  <si>
    <t>الفروانية  قطعة 1  شارع 68  منزل 27 -عمارة 62</t>
  </si>
  <si>
    <t>M000755</t>
  </si>
  <si>
    <t xml:space="preserve">صادق حسين حسن الشويكر </t>
  </si>
  <si>
    <t>60004616</t>
  </si>
  <si>
    <t>99976096</t>
  </si>
  <si>
    <t>جابر الاحمد -ق 6- ش621 - م 636 - الالي 20411501</t>
  </si>
  <si>
    <t>Speed 2</t>
  </si>
  <si>
    <t xml:space="preserve"> ( ماكينة 6 حصان ايطالي )</t>
  </si>
  <si>
    <t>M000757</t>
  </si>
  <si>
    <t xml:space="preserve">خالد حمد فارس الخالدي </t>
  </si>
  <si>
    <t>94458080</t>
  </si>
  <si>
    <t xml:space="preserve"> اليرموك  قطعة رقم 2  شارع عبدالعزيز بن باز   قسيمة 1 -الرقم الالي 16905373</t>
  </si>
  <si>
    <t>M000759</t>
  </si>
  <si>
    <t xml:space="preserve">احمد عبدالرحيم عبدالغفور </t>
  </si>
  <si>
    <t>66664026</t>
  </si>
  <si>
    <t>رقم الحارس 99194974</t>
  </si>
  <si>
    <t xml:space="preserve"> سلوي  قطعة 3  شارع 1  منزل 52 - الرقم الآلي 16104656</t>
  </si>
  <si>
    <t xml:space="preserve">أحمد عبدالرحيم عبدالغفور </t>
  </si>
  <si>
    <t xml:space="preserve">كنترول تركي </t>
  </si>
  <si>
    <t>M000760</t>
  </si>
  <si>
    <t xml:space="preserve"> سلوي  قطعة 3  شارع 1  منزل 54 - الرقم الآلي 16139576</t>
  </si>
  <si>
    <t>M000761</t>
  </si>
  <si>
    <t xml:space="preserve">عابدين حسن عابدين حسن </t>
  </si>
  <si>
    <t>66560044</t>
  </si>
  <si>
    <t xml:space="preserve"> العدان  قطعة رقم 2  شارع 58  قسيمة 7 - الرقم الالي 14787799</t>
  </si>
  <si>
    <t>M000762</t>
  </si>
  <si>
    <t xml:space="preserve">خالده العثمان </t>
  </si>
  <si>
    <t>67119963</t>
  </si>
  <si>
    <t xml:space="preserve"> الفنيطيس  قطعة 7  شارع 703  منزل 135 </t>
  </si>
  <si>
    <t>M000763</t>
  </si>
  <si>
    <t xml:space="preserve">شركة أعيان العقارية </t>
  </si>
  <si>
    <t xml:space="preserve"> حولي  قطعة 8  شارع 279  منزل 22 -الرقم الالي 93960595</t>
  </si>
  <si>
    <t>M000764</t>
  </si>
  <si>
    <t xml:space="preserve">أحمد عبيد الرشيدي </t>
  </si>
  <si>
    <t>66777259</t>
  </si>
  <si>
    <t xml:space="preserve"> الجهراء -النسيم   قطعة 2  شارع 13  منزل 15 - الرقم الالي 14559374</t>
  </si>
  <si>
    <t>( ايطالي 8 حصان )</t>
  </si>
  <si>
    <t>M000765</t>
  </si>
  <si>
    <t xml:space="preserve">مصطفي حسين عبدالنبي القطان </t>
  </si>
  <si>
    <t>66050404</t>
  </si>
  <si>
    <t>67068199</t>
  </si>
  <si>
    <t xml:space="preserve"> المنصورية  قطعة 1  شارع 12  منزل 10 </t>
  </si>
  <si>
    <t xml:space="preserve">سموكي سرعتين </t>
  </si>
  <si>
    <t xml:space="preserve">الغانم </t>
  </si>
  <si>
    <t>M000766</t>
  </si>
  <si>
    <t xml:space="preserve">خالد صقر الجمهور </t>
  </si>
  <si>
    <t>51319009</t>
  </si>
  <si>
    <t xml:space="preserve"> غرب عبدالله مبارك  قطعة 1  شارع 131  منزل 470 </t>
  </si>
  <si>
    <t>غرب عبدالله مبارك</t>
  </si>
  <si>
    <t>M000767</t>
  </si>
  <si>
    <t>المنقف - ق 4 -ش 25- م 47</t>
  </si>
  <si>
    <t>M000771</t>
  </si>
  <si>
    <t xml:space="preserve">مسفر ناصر سالم الدوسري </t>
  </si>
  <si>
    <t>99600391</t>
  </si>
  <si>
    <t xml:space="preserve"> صباح الاحمد  قطعة رقم 5  شارع 503  قسيمة 150 -الالي 20042398</t>
  </si>
  <si>
    <t>M000772</t>
  </si>
  <si>
    <t xml:space="preserve">سلمان عبدالكريم صالح الحربي </t>
  </si>
  <si>
    <t>99943639</t>
  </si>
  <si>
    <t xml:space="preserve"> الرميثية  قطعة رقم 4  شارع 45  قسيمة 27 -الرقم الالي 11750843</t>
  </si>
  <si>
    <t>M000773</t>
  </si>
  <si>
    <t xml:space="preserve">طاهر عبدالرضا طاهر الوزان </t>
  </si>
  <si>
    <t>99044361</t>
  </si>
  <si>
    <t>الدسمة- ق 4- شارع الامام الحسين بن علي بن ابي طالب -منزل 2-الالي 10351023</t>
  </si>
  <si>
    <t>M000774</t>
  </si>
  <si>
    <t>معرض تي ام تي لانتاج اللحوم الطازجة والمبردة</t>
  </si>
  <si>
    <t>67650059</t>
  </si>
  <si>
    <t xml:space="preserve"> الشويخ الصناعية   قطعة د- قسيمة 111-محل 8,9 الالي 21662249 </t>
  </si>
  <si>
    <t xml:space="preserve">ونش صاعدة </t>
  </si>
  <si>
    <t>M000775</t>
  </si>
  <si>
    <t xml:space="preserve">محمد العياسري مطر المطيري </t>
  </si>
  <si>
    <t>99449112</t>
  </si>
  <si>
    <t xml:space="preserve"> سعد العبد الله  قطعة 3  شارع 308  منزل 23 - الالي 17642325</t>
  </si>
  <si>
    <t>M000776</t>
  </si>
  <si>
    <t>اسماعيل حسين ابراهيم صادق</t>
  </si>
  <si>
    <t>51256781</t>
  </si>
  <si>
    <t xml:space="preserve"> القصور  قطعة 1  شارع 46  منزل 18 </t>
  </si>
  <si>
    <t>القصور</t>
  </si>
  <si>
    <t>( 8 حصان ايطالي جير )</t>
  </si>
  <si>
    <t>M000777</t>
  </si>
  <si>
    <t xml:space="preserve">رشا عبدالله محمد العجيمان </t>
  </si>
  <si>
    <t>66666087</t>
  </si>
  <si>
    <t xml:space="preserve"> ميدان حولي   قطعة 11  شارع الزباء  منزل 63- الرقم الآلي 94400776</t>
  </si>
  <si>
    <t>M000778</t>
  </si>
  <si>
    <t>شركة دار الكوت العقارية</t>
  </si>
  <si>
    <t xml:space="preserve"> ميدان حولي   قطعة 11  منزل 27 </t>
  </si>
  <si>
    <t>M000779</t>
  </si>
  <si>
    <t xml:space="preserve">فهد حمود </t>
  </si>
  <si>
    <t>55559818</t>
  </si>
  <si>
    <t xml:space="preserve"> عبد الله مبارك - ق4  شارع 427 - H1 - الرقم الآلي 17212675</t>
  </si>
  <si>
    <t>M000780</t>
  </si>
  <si>
    <t xml:space="preserve">خالد فهد خالد العصيمي </t>
  </si>
  <si>
    <t>99992394</t>
  </si>
  <si>
    <t>رقم الحارس 99992394</t>
  </si>
  <si>
    <t xml:space="preserve"> الشويخ الصناعية   قطعة 1  شارع 22  منزل 51 -الرقم الالي 20042654</t>
  </si>
  <si>
    <t>M000783</t>
  </si>
  <si>
    <t xml:space="preserve">خليفة فارس غانم الدبوس </t>
  </si>
  <si>
    <t>حارس 96041115</t>
  </si>
  <si>
    <t xml:space="preserve"> المهبولة  قطعة 4  شارع الطريق الساحلي   منزل 976 </t>
  </si>
  <si>
    <t>M000784</t>
  </si>
  <si>
    <t>97888280</t>
  </si>
  <si>
    <t xml:space="preserve"> ميناء عبدالله  - قسيمة رقم 162 - موقع رقم 21 -الرقم الالي : 22025663</t>
  </si>
  <si>
    <t xml:space="preserve">ميناء عبدالله </t>
  </si>
  <si>
    <t xml:space="preserve">2Speed </t>
  </si>
  <si>
    <t>هيدروليك</t>
  </si>
  <si>
    <t>M000785</t>
  </si>
  <si>
    <t xml:space="preserve">مرزوق سالم مرزوق المرزوق </t>
  </si>
  <si>
    <t>99084487</t>
  </si>
  <si>
    <t xml:space="preserve"> السلام   قطعة 5  شارع 514  منزل 49 - الالي 15630427</t>
  </si>
  <si>
    <t>M000786</t>
  </si>
  <si>
    <t xml:space="preserve">جاسم بدر اليعقوب </t>
  </si>
  <si>
    <t>94444997</t>
  </si>
  <si>
    <t xml:space="preserve"> سلوي  قطعة 11  شارع 1  منزل 436 </t>
  </si>
  <si>
    <t>M000787</t>
  </si>
  <si>
    <t xml:space="preserve">مساعد هاشم محمد الماجد </t>
  </si>
  <si>
    <t>97779841</t>
  </si>
  <si>
    <t xml:space="preserve"> العدان  قطعة 7  شارع 23  منزل 32 - الرقم الالي 15100784</t>
  </si>
  <si>
    <t>M000788</t>
  </si>
  <si>
    <t xml:space="preserve">سليمان مبارك بورسلي </t>
  </si>
  <si>
    <t>66607171</t>
  </si>
  <si>
    <t xml:space="preserve"> صباح السالم   قطعة 5  -الشارع الأول جادة 18  منزل 15 -الالي 11924073</t>
  </si>
  <si>
    <t>M000789</t>
  </si>
  <si>
    <t xml:space="preserve">ثنيان حامد العصفور </t>
  </si>
  <si>
    <t>66323144</t>
  </si>
  <si>
    <t>50059148 رقم الحارس</t>
  </si>
  <si>
    <t xml:space="preserve"> الزهراء - ق8 - شارع 828 </t>
  </si>
  <si>
    <t>M000791</t>
  </si>
  <si>
    <t xml:space="preserve">شركة الأفواز العالمية لشراء وبيع الأراضي </t>
  </si>
  <si>
    <t xml:space="preserve"> السالمية  قطعة 10  شارع الضحاك بن قيس -قسيمة 325-الرقم الالي 93575136</t>
  </si>
  <si>
    <t>M000792</t>
  </si>
  <si>
    <t xml:space="preserve">شركة منازل الفوز لادارة أملاك الغير </t>
  </si>
  <si>
    <t xml:space="preserve"> السالمية  قطعة 10 -قسيمة 326- الرقم الالي 93341591</t>
  </si>
  <si>
    <t>M000795</t>
  </si>
  <si>
    <t xml:space="preserve">65855990-الحارس </t>
  </si>
  <si>
    <t>خيران -ق 4A- الالي 95634064</t>
  </si>
  <si>
    <t>M000796</t>
  </si>
  <si>
    <t xml:space="preserve">شركة الجليعه بيتش سفن العقارية </t>
  </si>
  <si>
    <t>99592457</t>
  </si>
  <si>
    <t xml:space="preserve"> حولي  قطعة 6  شارع 329  قسيمة 4328 - الرقم الالي 92791232</t>
  </si>
  <si>
    <t>M000798</t>
  </si>
  <si>
    <t xml:space="preserve">باني علي مطر المطيري </t>
  </si>
  <si>
    <t>99299228</t>
  </si>
  <si>
    <t>رقم الحارس 55936011</t>
  </si>
  <si>
    <t xml:space="preserve"> جليب الشيوخ  قطعة 4  شارع 6 -الرقم الالي 90711235</t>
  </si>
  <si>
    <t>M000799</t>
  </si>
  <si>
    <t xml:space="preserve">اسامه محمد الريس </t>
  </si>
  <si>
    <t>99679661</t>
  </si>
  <si>
    <t>خيران - المنطقة الرابعة - قسيمة 1445</t>
  </si>
  <si>
    <t xml:space="preserve">ماكينة ايطالي 6 حصان </t>
  </si>
  <si>
    <t>M000801</t>
  </si>
  <si>
    <t xml:space="preserve">أصايل أسامه خالد الرومي </t>
  </si>
  <si>
    <t>60700903</t>
  </si>
  <si>
    <t xml:space="preserve"> الفيحاء  قطعة 8  شارع 84  منزل 5 -الرقم الالي 10475333</t>
  </si>
  <si>
    <t>الفيحاء</t>
  </si>
  <si>
    <t>M000802</t>
  </si>
  <si>
    <t xml:space="preserve">مشعل عثمان عبدالصمد عبادي </t>
  </si>
  <si>
    <t>90907780</t>
  </si>
  <si>
    <t xml:space="preserve"> العدان  قطعة رقم 1  شارع 54  قسيمة 58 الرقم الالي 14597258</t>
  </si>
  <si>
    <t xml:space="preserve"> (8hp italy )</t>
  </si>
  <si>
    <t>M000803</t>
  </si>
  <si>
    <t>حولي - ق 12 - شارع حسن البصري - قسيمة 58</t>
  </si>
  <si>
    <t>سرعتين استرا</t>
  </si>
  <si>
    <t>M000804</t>
  </si>
  <si>
    <t xml:space="preserve">الشركة العالمية الكبري </t>
  </si>
  <si>
    <t>96005176</t>
  </si>
  <si>
    <t>96754375 رقم الحارس</t>
  </si>
  <si>
    <t xml:space="preserve"> الري  قطعة رقم 1  شارع 39  قسيمة 59 -الرقم الالي 21530684</t>
  </si>
  <si>
    <t>M000806</t>
  </si>
  <si>
    <t>عذال نواف المطيري</t>
  </si>
  <si>
    <t>99799635</t>
  </si>
  <si>
    <t xml:space="preserve"> المطلاع - N9 - ق 2 - قسيمة 24</t>
  </si>
  <si>
    <t>المطلاع</t>
  </si>
  <si>
    <t>M000807</t>
  </si>
  <si>
    <t xml:space="preserve">حسين محمود حسين دشتي </t>
  </si>
  <si>
    <t>صباح الاحمد السكنية - B2 - قسيمة 149</t>
  </si>
  <si>
    <t xml:space="preserve"> للركابVVVF</t>
  </si>
  <si>
    <t xml:space="preserve">مونتناري 8 حصان </t>
  </si>
  <si>
    <t>M000808</t>
  </si>
  <si>
    <t xml:space="preserve">الدكتور / نايف حمد المطيري </t>
  </si>
  <si>
    <t>96997742-الحارس ايوب</t>
  </si>
  <si>
    <t xml:space="preserve"> حولي  قطعة 9  - ش 251- قسيمة 77 - الرقم الالي 90217878</t>
  </si>
  <si>
    <t>M000809</t>
  </si>
  <si>
    <t xml:space="preserve"> اشبيلية  قطعة 1  شارع 125  منزل 30 </t>
  </si>
  <si>
    <t>M000810</t>
  </si>
  <si>
    <t xml:space="preserve">علي مانع عبيد </t>
  </si>
  <si>
    <t>99803505</t>
  </si>
  <si>
    <t xml:space="preserve"> الشهداء - قطعة 1 - شارع 102 -  منزل 392 </t>
  </si>
  <si>
    <t>( ماكينة 6 حصان ايطالي جير )</t>
  </si>
  <si>
    <t>M000811</t>
  </si>
  <si>
    <t>خالدة محمد صالح عبد الرحيم</t>
  </si>
  <si>
    <t>99739136</t>
  </si>
  <si>
    <t>رقم الحارس 55975581</t>
  </si>
  <si>
    <t>الشعب البحري - شارع عبد الله بن سلام - مركز 32 للأسنان - الرقم الآلي 18722941</t>
  </si>
  <si>
    <t>مصعد للأدوية</t>
  </si>
  <si>
    <t>رافعة / ونش</t>
  </si>
  <si>
    <t>M000812</t>
  </si>
  <si>
    <t xml:space="preserve">الشيخ / بدر فيصل محمد الصباح </t>
  </si>
  <si>
    <t>50900005  زوجة الشيخ</t>
  </si>
  <si>
    <t>الفنطاس - ق 4 - ش 18 - م 34</t>
  </si>
  <si>
    <t>M000813</t>
  </si>
  <si>
    <t>سيف خالد عمر العتيبي</t>
  </si>
  <si>
    <t>66286003</t>
  </si>
  <si>
    <t>أم الهيمان -  قطعة 9 - شارع 20 - مبنى 14- الالي 15442733</t>
  </si>
  <si>
    <t xml:space="preserve">أم الهيمان </t>
  </si>
  <si>
    <t>M000814</t>
  </si>
  <si>
    <t>علي أكبر حسين عباس</t>
  </si>
  <si>
    <t>25616230</t>
  </si>
  <si>
    <t>سلوى - قطعة 4 - شارع 3 - قسيمة 152- الرقم الآلي 15194688</t>
  </si>
  <si>
    <t>M000815</t>
  </si>
  <si>
    <t>سعود طلب المحيسن</t>
  </si>
  <si>
    <t xml:space="preserve">الفروانية ق 1 ش 91 م 150 </t>
  </si>
  <si>
    <t>M000817</t>
  </si>
  <si>
    <t xml:space="preserve">خالد غازي المطيري </t>
  </si>
  <si>
    <t>50018705</t>
  </si>
  <si>
    <t xml:space="preserve"> الصباحية  قطعة 4  شارع 14  منزل 883 - الالى 13673191</t>
  </si>
  <si>
    <t>M000820</t>
  </si>
  <si>
    <t xml:space="preserve">جمعية مشرف التعاونية </t>
  </si>
  <si>
    <t>52224535</t>
  </si>
  <si>
    <t xml:space="preserve"> مشرف  قطعة رقم 4 - جمعية مشرف -مبني الادارة </t>
  </si>
  <si>
    <t>M000821</t>
  </si>
  <si>
    <t xml:space="preserve">محمد عبدالله الهزيم </t>
  </si>
  <si>
    <t>90001443</t>
  </si>
  <si>
    <t xml:space="preserve"> الزهراء  قطعة رقم 4  شارع 417 قسيمة 10 -الرقم الالي 16973587</t>
  </si>
  <si>
    <t>M000822</t>
  </si>
  <si>
    <t>50603061</t>
  </si>
  <si>
    <t>رقم الحارس 67728128</t>
  </si>
  <si>
    <t xml:space="preserve"> جليب الشيوخ  قطعة 4  شارع 3 قسيمة 1848</t>
  </si>
  <si>
    <t>M000823</t>
  </si>
  <si>
    <t xml:space="preserve">مشاري عدنان محمد </t>
  </si>
  <si>
    <t>99962531</t>
  </si>
  <si>
    <t xml:space="preserve"> خيران - الشاليهات - 528D</t>
  </si>
  <si>
    <t>M000824</t>
  </si>
  <si>
    <t>وصية ثلث المرحوم احمد يوسف العميري</t>
  </si>
  <si>
    <t>99891493</t>
  </si>
  <si>
    <t>أمين : 65141445</t>
  </si>
  <si>
    <t>ميدان حولي - ق11 - شارع أحد - م 18</t>
  </si>
  <si>
    <t>M000825</t>
  </si>
  <si>
    <t xml:space="preserve">99429556-راتون </t>
  </si>
  <si>
    <t>السالمية - قطعة 6 -شارع 6 - م 59- الرقم الالي 92942969</t>
  </si>
  <si>
    <t>M000826</t>
  </si>
  <si>
    <t xml:space="preserve">علي طامي جبر العاردي </t>
  </si>
  <si>
    <t>99066461</t>
  </si>
  <si>
    <t xml:space="preserve"> الصليبخات  قطعة 2  شارع 102  جادة 7 قسيمة 17أ -الرقم الالي 15249319</t>
  </si>
  <si>
    <t>M000827</t>
  </si>
  <si>
    <t xml:space="preserve">55889672- سعيد </t>
  </si>
  <si>
    <t xml:space="preserve"> جليب الشيوخ  قطعة 10 قسيمة 109 -الرقم الالي 90728002</t>
  </si>
  <si>
    <t>M000829</t>
  </si>
  <si>
    <t xml:space="preserve">حمد محمد محمود الحماد </t>
  </si>
  <si>
    <t>99797089</t>
  </si>
  <si>
    <t xml:space="preserve"> حطين  قطعة رقم 4  شارع 418 قسيمة 8 -الرقم الالي 16956744</t>
  </si>
  <si>
    <t>M000830</t>
  </si>
  <si>
    <t xml:space="preserve">خالد مبارك الحميدي </t>
  </si>
  <si>
    <t>94991970</t>
  </si>
  <si>
    <t xml:space="preserve"> حولي  شارع الحسن البصري  قسيمة 9 -الرقم الالي 93501348</t>
  </si>
  <si>
    <t>M000832</t>
  </si>
  <si>
    <t xml:space="preserve">عبدالله ناصر محمد الدوسري </t>
  </si>
  <si>
    <t>99666461</t>
  </si>
  <si>
    <t>60450115 رقم السائق</t>
  </si>
  <si>
    <t xml:space="preserve"> الصباحية  قطعة رقم 1  شارع 7 قسيمة 39 -الرقم الالي 13581158</t>
  </si>
  <si>
    <t>M000833</t>
  </si>
  <si>
    <t xml:space="preserve">شركة مدينة الأحلام العقارية </t>
  </si>
  <si>
    <t xml:space="preserve"> صباح السالم  قطعة 1  شارع 118 قسيمة 463 -95643163</t>
  </si>
  <si>
    <t>M000834</t>
  </si>
  <si>
    <t xml:space="preserve">شركة الصرح المتحدة العقارية </t>
  </si>
  <si>
    <t>رقم الحارس 60052402</t>
  </si>
  <si>
    <t xml:space="preserve"> صباح السالم  قطعة 1  شارع 118 قسيمة 462 - 95643155</t>
  </si>
  <si>
    <t>M000836</t>
  </si>
  <si>
    <t>الدكتوره / موضي عبدالله الحيصنان</t>
  </si>
  <si>
    <t>90009857</t>
  </si>
  <si>
    <t xml:space="preserve"> غرب عبدالله مبارك  قطعة 5  شارع 521  منزل 159 </t>
  </si>
  <si>
    <t>M000837</t>
  </si>
  <si>
    <t xml:space="preserve">محمد أحمد علي </t>
  </si>
  <si>
    <t>98796636</t>
  </si>
  <si>
    <t>94161541السيد/جاسم ابنه</t>
  </si>
  <si>
    <t xml:space="preserve"> مبارك الكبير  قطعة 1  شارع 15 قسيمة 1 -الرقم الالي 15060815</t>
  </si>
  <si>
    <t>M000838</t>
  </si>
  <si>
    <t xml:space="preserve">أنور عبدالله عيسي العباسي </t>
  </si>
  <si>
    <t>98082609</t>
  </si>
  <si>
    <t xml:space="preserve"> صباح السالم  قطعة 9  شارع 3  جادة 4 قسيمة 28 الرقم الالي 11956622</t>
  </si>
  <si>
    <t>M000839</t>
  </si>
  <si>
    <t>عادل عوض المطيري</t>
  </si>
  <si>
    <t>55828687</t>
  </si>
  <si>
    <t>سعد العبد الله - ق6 -شارع 602 - منزل 12</t>
  </si>
  <si>
    <t>M000840</t>
  </si>
  <si>
    <t xml:space="preserve">محمد ابراهيم أحمد الفليكاوي </t>
  </si>
  <si>
    <t>60016232</t>
  </si>
  <si>
    <t>رقم المستأجرة 6070386</t>
  </si>
  <si>
    <t xml:space="preserve"> سلوي  قطعة 12  شارع 7 قسيمة 16 - الرقم الالي 20195765</t>
  </si>
  <si>
    <t>M000841</t>
  </si>
  <si>
    <t xml:space="preserve">شركة لؤلؤة العصيمي </t>
  </si>
  <si>
    <t>51115499</t>
  </si>
  <si>
    <t>99592457-مالك جديد -55755320</t>
  </si>
  <si>
    <t xml:space="preserve"> حولي  شارع المثني  -خلف محكمة الأسرة -عمارة اليرموك -الرقم الالي 93300319</t>
  </si>
  <si>
    <t>M000842</t>
  </si>
  <si>
    <t xml:space="preserve">طارق حسين عبدالله المزيدي </t>
  </si>
  <si>
    <t>66655899</t>
  </si>
  <si>
    <t xml:space="preserve"> الجابرية  قطعة 9  شارع 17 قسيمة 42 -الرقم الالي 15191292</t>
  </si>
  <si>
    <t>IGV</t>
  </si>
  <si>
    <t>نوفا</t>
  </si>
  <si>
    <t>M000843</t>
  </si>
  <si>
    <t xml:space="preserve">علي جديان البغيلي </t>
  </si>
  <si>
    <t xml:space="preserve"> جليب الشيوخ  قطعة 4  شارع 17 قسيمة 14 -الرقم الالي 92693536</t>
  </si>
  <si>
    <t xml:space="preserve">تجميع vvvvf </t>
  </si>
  <si>
    <t>M000844</t>
  </si>
  <si>
    <t xml:space="preserve">هيفاء ابراهيم سليمان البريدي </t>
  </si>
  <si>
    <t>55874494</t>
  </si>
  <si>
    <t xml:space="preserve"> الفنيطيس  قطعة 5  شارع 509 قسيمة 35 </t>
  </si>
  <si>
    <t>M000845</t>
  </si>
  <si>
    <t xml:space="preserve">جاسم عبدالعزيز محمد الجاسم </t>
  </si>
  <si>
    <t>60710945</t>
  </si>
  <si>
    <t xml:space="preserve"> حولي  قطعة 8  شارع 280 قسيمة 9330 - الرقم الالي 93992896</t>
  </si>
  <si>
    <t>M000846</t>
  </si>
  <si>
    <t xml:space="preserve">جاسم محمد عبدالعزيز المهنا </t>
  </si>
  <si>
    <t>90044991</t>
  </si>
  <si>
    <t xml:space="preserve"> مبارك الكبير  قطعة 8  شارع 15 قسيمة 42 الرقم الالي 15227689</t>
  </si>
  <si>
    <t>M000847</t>
  </si>
  <si>
    <t xml:space="preserve">عبد الرزاق مشقاص علي الفجي </t>
  </si>
  <si>
    <t>97520403</t>
  </si>
  <si>
    <t xml:space="preserve"> الرحاب   قطعة رقم 2  شارع 17 قسيمة 6 -الرقم الالي 13227415</t>
  </si>
  <si>
    <t xml:space="preserve">الرحاب </t>
  </si>
  <si>
    <t>M000848</t>
  </si>
  <si>
    <t>12AKB&amp;C الجابرية  قطعة 9  شارع 21 - قسائم &amp;الرقم الالي 15191305</t>
  </si>
  <si>
    <t>M000849</t>
  </si>
  <si>
    <t xml:space="preserve">محمد عبدالرضا محمد داود </t>
  </si>
  <si>
    <t>96978100</t>
  </si>
  <si>
    <t xml:space="preserve"> جنوب عبدالله مبارك   قطعة رقم 1 قسيمة 419 </t>
  </si>
  <si>
    <t xml:space="preserve">جنوب عبدالله مبارك </t>
  </si>
  <si>
    <t>M000850</t>
  </si>
  <si>
    <t>97895569</t>
  </si>
  <si>
    <t xml:space="preserve"> العديلية  قطعة 2  شارع 23 قسيمة 9 -الرقم الالي 10664652</t>
  </si>
  <si>
    <t>العديلية</t>
  </si>
  <si>
    <t>M000851</t>
  </si>
  <si>
    <t xml:space="preserve">بسام صالح سلطان المجرن </t>
  </si>
  <si>
    <t>65650061</t>
  </si>
  <si>
    <t xml:space="preserve"> العديلية -ق1- ش عبدالعزيز الراشد -قسيمة 6</t>
  </si>
  <si>
    <t>M000852</t>
  </si>
  <si>
    <t xml:space="preserve">شركة أعيان/ شركة عناية لادارة املاك الغير تابعه لاعيان </t>
  </si>
  <si>
    <t>66762828</t>
  </si>
  <si>
    <t>خيطان - 7-قسيمة 18- مجمع النخيل- الرقم الآلي 94304995</t>
  </si>
  <si>
    <t>M000853</t>
  </si>
  <si>
    <t>الكويت – المباركية - ق 8- سوق الغربلي -الرقم الالي 90013293</t>
  </si>
  <si>
    <t>M000854</t>
  </si>
  <si>
    <t xml:space="preserve">صالح عيسي الناجم </t>
  </si>
  <si>
    <t>67003599</t>
  </si>
  <si>
    <t xml:space="preserve"> العدان  قطعة 2  شارع 60 -مقابل شارع 61- منزل 8 - الرقم الآلي 91604861</t>
  </si>
  <si>
    <t>M000856</t>
  </si>
  <si>
    <t xml:space="preserve">شركة البيت العتيق </t>
  </si>
  <si>
    <t xml:space="preserve">60331495-حارس /محمد </t>
  </si>
  <si>
    <t xml:space="preserve"> الفروانية  قطعة 2  شارع 131 قسيمة 38 - الرقم الالي 90569945</t>
  </si>
  <si>
    <t>M000857</t>
  </si>
  <si>
    <t xml:space="preserve">عيسي سيد عباس سيد محمد القلاف </t>
  </si>
  <si>
    <t>66901170</t>
  </si>
  <si>
    <t xml:space="preserve"> الشهداء  قطعة رقم 2  شارع 207 قسيمة 23 -الرقم الالي 17434198</t>
  </si>
  <si>
    <t>M000858</t>
  </si>
  <si>
    <t xml:space="preserve">علي يحيي عيسي </t>
  </si>
  <si>
    <t>99017308- 98828901</t>
  </si>
  <si>
    <t xml:space="preserve"> السرة  قطعة 4  شارع 4 قسيمة 39 -الرقم الالي </t>
  </si>
  <si>
    <t>M000859</t>
  </si>
  <si>
    <t>لطفي محمد علي السمحان</t>
  </si>
  <si>
    <t>65714040</t>
  </si>
  <si>
    <t xml:space="preserve"> مبارك الكبير  قطعة 1  شارع 5 قسيمة 29 - الرقم الالي 15059099</t>
  </si>
  <si>
    <t>M000860</t>
  </si>
  <si>
    <t>98736956</t>
  </si>
  <si>
    <t>55499227 رقم الحارس عبد الواحد</t>
  </si>
  <si>
    <t xml:space="preserve"> القيروان  قطعة 1  شارع 309 قسيمة 488 -منزل 12 الرقم الالي 17709788</t>
  </si>
  <si>
    <t>M000861</t>
  </si>
  <si>
    <t xml:space="preserve">راشد أحمد فلاح القعابي </t>
  </si>
  <si>
    <t>66668760</t>
  </si>
  <si>
    <t xml:space="preserve"> سلوي  قطعة 6  شارع المتنبي  قسيمة 26 </t>
  </si>
  <si>
    <t>M000862</t>
  </si>
  <si>
    <t xml:space="preserve">راشد فالح مطلق الهاجري </t>
  </si>
  <si>
    <t>55540663</t>
  </si>
  <si>
    <t xml:space="preserve"> صباح الاحمد  قطعة 1  شارع 107 قسيمة 347-الرقم الالي 20766134</t>
  </si>
  <si>
    <t>M000864</t>
  </si>
  <si>
    <t xml:space="preserve">فيصل ابراهيم عبدالكريم عسك </t>
  </si>
  <si>
    <t>99869096</t>
  </si>
  <si>
    <t xml:space="preserve"> مبارك الكبير  قطعة 7  شارع 14 قسيمة 21 - الرقم الالي 15419517</t>
  </si>
  <si>
    <t>M000865</t>
  </si>
  <si>
    <t>جابرأحمد إسماعيل</t>
  </si>
  <si>
    <t>66165452</t>
  </si>
  <si>
    <t xml:space="preserve"> الاندلس  قطعة 13  شارع 13 قسيمة 9 </t>
  </si>
  <si>
    <t>M000867</t>
  </si>
  <si>
    <t xml:space="preserve">شركة أعيان العقارية /شركة عناية لإدارة أملاك الغير </t>
  </si>
  <si>
    <t xml:space="preserve"> خيطان  قطعة 7 -مجمع سدرة -الرقم الالي 94305111</t>
  </si>
  <si>
    <t>M000868</t>
  </si>
  <si>
    <t>سالم وسمي سالم العزمي</t>
  </si>
  <si>
    <t>99166121</t>
  </si>
  <si>
    <t xml:space="preserve"> السالمية  قطعة 6  شارع 8 - قسيمة 24</t>
  </si>
  <si>
    <t>M000869</t>
  </si>
  <si>
    <t xml:space="preserve"> الفروانية  شارع الاردن  قسيمة 166 -الرقم الالي 92937166</t>
  </si>
  <si>
    <t>M000871</t>
  </si>
  <si>
    <t>عدنان ناصر خالد الجاسر</t>
  </si>
  <si>
    <t>97414040</t>
  </si>
  <si>
    <t xml:space="preserve"> غرب عبدالله مبارك  قطعة 1  شارع 135 قسيمة 478 </t>
  </si>
  <si>
    <t>M000872</t>
  </si>
  <si>
    <t xml:space="preserve">فريدة محمد عرب نزاد كناوة </t>
  </si>
  <si>
    <t>55055644</t>
  </si>
  <si>
    <t xml:space="preserve"> عبدالله مبارك   قطعة 3  شارع 318 قسيمة 35 -الرقم الالي 17689182</t>
  </si>
  <si>
    <t>M000873</t>
  </si>
  <si>
    <t xml:space="preserve">عوض علي المطيري </t>
  </si>
  <si>
    <t>66920087</t>
  </si>
  <si>
    <t xml:space="preserve"> جابر الاحمد  قطعة 7  شارع 743 قسيمة 1203 </t>
  </si>
  <si>
    <t>M000874</t>
  </si>
  <si>
    <t xml:space="preserve">يعقوب حسين نور البلوشي </t>
  </si>
  <si>
    <t>97337885</t>
  </si>
  <si>
    <t xml:space="preserve"> بيان  قطعة 4  شارع 4 قسيمة 46 A</t>
  </si>
  <si>
    <t>M000875</t>
  </si>
  <si>
    <t xml:space="preserve">أحمد علي خليل الشمالي </t>
  </si>
  <si>
    <t>97705701</t>
  </si>
  <si>
    <t xml:space="preserve"> الجابرية  قطعة 7  شارع 3 قسيمة 22 </t>
  </si>
  <si>
    <t>M000876</t>
  </si>
  <si>
    <t xml:space="preserve">جهاد حسين علي محمد </t>
  </si>
  <si>
    <t>99199001</t>
  </si>
  <si>
    <t xml:space="preserve"> الفنيطيس  قطعة 2  شارع 203 منزل 3 </t>
  </si>
  <si>
    <t>M000877</t>
  </si>
  <si>
    <t xml:space="preserve">فهد عبد العزيز عبدالله الفهد </t>
  </si>
  <si>
    <t>99744563</t>
  </si>
  <si>
    <t xml:space="preserve"> السرة  قطعة 5  شارع حمد يوسف  قسيمة 47 - الرقم الالي 16902148</t>
  </si>
  <si>
    <t xml:space="preserve">vvvf &amp;كارت سموكي </t>
  </si>
  <si>
    <t>M000878</t>
  </si>
  <si>
    <t xml:space="preserve"> ثلث المرحوم خليل الحمر</t>
  </si>
  <si>
    <t xml:space="preserve"> المنصورية  قطعة 2 قسيمة 6 -الرقم الالي 10335699</t>
  </si>
  <si>
    <t>M000879</t>
  </si>
  <si>
    <t xml:space="preserve">م/عبيد المطيري </t>
  </si>
  <si>
    <t>99517069-94060664</t>
  </si>
  <si>
    <t xml:space="preserve">الحارس : 94717430أحمد </t>
  </si>
  <si>
    <t xml:space="preserve"> الجابرية  قطعة 7  شارع 102قسيمة 567 -الرقم الالي 90512615</t>
  </si>
  <si>
    <t>M000880</t>
  </si>
  <si>
    <t xml:space="preserve">صلاح متعب عثمان الرميح </t>
  </si>
  <si>
    <t>99500550</t>
  </si>
  <si>
    <t xml:space="preserve"> المسايل  قطعة 1  شارع 109 قسيمة 2 -الرقم الالي : 22141066</t>
  </si>
  <si>
    <t>M000881</t>
  </si>
  <si>
    <t xml:space="preserve">غنيه برغش موازي حركان </t>
  </si>
  <si>
    <t>66208034</t>
  </si>
  <si>
    <t xml:space="preserve"> المنقف  قطعة 2  شارع 5 قسيمة 65 -الرقم الالي 13522158</t>
  </si>
  <si>
    <t>M000882</t>
  </si>
  <si>
    <t xml:space="preserve">باسل علي حسين الزمانان </t>
  </si>
  <si>
    <t>99178999</t>
  </si>
  <si>
    <t>رقم الحارس 67623771</t>
  </si>
  <si>
    <t xml:space="preserve"> ابو فطيرة  قطعة 6  شارع 177 مبني 51 -قسيمة 36-الرقم الالي 19783535</t>
  </si>
  <si>
    <t>M000884</t>
  </si>
  <si>
    <t xml:space="preserve"> المهبولة  قطعة 2 قسيمة 205 -م 16- الرقم الالي 95036056</t>
  </si>
  <si>
    <t xml:space="preserve">8 حصان مونتناري </t>
  </si>
  <si>
    <t>M000885</t>
  </si>
  <si>
    <t xml:space="preserve">جاسم محمد جاسم العنزي </t>
  </si>
  <si>
    <t>50155510</t>
  </si>
  <si>
    <t xml:space="preserve"> القيروان  قطعة 1  شارع 116 قسيمة 408 -منزل 16-الرقم الالي 16204163</t>
  </si>
  <si>
    <t>M000886</t>
  </si>
  <si>
    <t xml:space="preserve">مطلق بداح صالح العتيبي </t>
  </si>
  <si>
    <t>99613245</t>
  </si>
  <si>
    <t xml:space="preserve"> المنقف  قطعة 1  شارع 141 قسيمة 63 -الرقم الالي 19172208</t>
  </si>
  <si>
    <t>M000887</t>
  </si>
  <si>
    <t xml:space="preserve">99415643-رحمة الله </t>
  </si>
  <si>
    <t xml:space="preserve"> خيران  قطعة 4  شارع 285 قسيمة 1431 </t>
  </si>
  <si>
    <t>M000888</t>
  </si>
  <si>
    <t xml:space="preserve">طارق محمود العسعوسي </t>
  </si>
  <si>
    <t>97452222</t>
  </si>
  <si>
    <t xml:space="preserve">96797768-حارس </t>
  </si>
  <si>
    <t xml:space="preserve"> حولي  قطعة 12  شارع 140 قسيمة 13 -الرقم الالي 17692429</t>
  </si>
  <si>
    <t>M000889</t>
  </si>
  <si>
    <t xml:space="preserve">حمد عبدالله يوسف بودي </t>
  </si>
  <si>
    <t>94786688</t>
  </si>
  <si>
    <t>الوكيل : 99575529</t>
  </si>
  <si>
    <t xml:space="preserve"> الشامية   قطعة 9  شارع 94 قسيمة 6 -الرقم الالي 14915578</t>
  </si>
  <si>
    <t>طعام</t>
  </si>
  <si>
    <t>M000890</t>
  </si>
  <si>
    <t xml:space="preserve">نجم عبدالله حسين بودستور </t>
  </si>
  <si>
    <t>97618999</t>
  </si>
  <si>
    <t>97618999-عبدالناصر</t>
  </si>
  <si>
    <t xml:space="preserve"> الشعب البحري  قطعة 8  شارع الكندي  قسيمة 128 -عماره 26-الرقم الالي 92918643</t>
  </si>
  <si>
    <t>M000891</t>
  </si>
  <si>
    <t xml:space="preserve">زايد عجران سعود العازمي </t>
  </si>
  <si>
    <t>50640056</t>
  </si>
  <si>
    <t xml:space="preserve"> غرب عبدالله مبارك  قطعة 5  شارع 551 قسيمة 525 -الرقم الالي 95465344</t>
  </si>
  <si>
    <t xml:space="preserve">سموكي vvvf </t>
  </si>
  <si>
    <t xml:space="preserve">ماكينة ايطالي </t>
  </si>
  <si>
    <t>M000892</t>
  </si>
  <si>
    <t xml:space="preserve">شركة الربيعة المتحدة للتجارة العامه </t>
  </si>
  <si>
    <t>غرب أبو فطيرة الحرفية (أسواق القرين)-ق 1-ش 12-قسيمة 20-الرقم الالي 95071222</t>
  </si>
  <si>
    <t>control VVVF</t>
  </si>
  <si>
    <t>M000893</t>
  </si>
  <si>
    <t>رقم الحارس 51361944</t>
  </si>
  <si>
    <t xml:space="preserve"> حولي  قطعة 6  شارع 345 قسيمة 3604 -الرقم الالي 93301055</t>
  </si>
  <si>
    <t>استرا</t>
  </si>
  <si>
    <t>M000894</t>
  </si>
  <si>
    <t xml:space="preserve">أحمد صالح عايش الرشيدي </t>
  </si>
  <si>
    <t>99548404</t>
  </si>
  <si>
    <t xml:space="preserve"> المطلاع  قطعة 1 - م 94</t>
  </si>
  <si>
    <t>M000895</t>
  </si>
  <si>
    <t>رقم الحارس 66025053</t>
  </si>
  <si>
    <t xml:space="preserve"> الجهراء  قطعة 4  شارع 3  جادة 7 قسيمة 9140 -الرقم الالي 91589286</t>
  </si>
  <si>
    <t xml:space="preserve">8 حصان ايطالي vvvf </t>
  </si>
  <si>
    <t>M000896</t>
  </si>
  <si>
    <t xml:space="preserve">حسن جويعد محمد العجمي </t>
  </si>
  <si>
    <t>60004059</t>
  </si>
  <si>
    <t xml:space="preserve"> المطلاع  قطعة 2  شارع n 11 قسيمة 132 </t>
  </si>
  <si>
    <t>M000897</t>
  </si>
  <si>
    <t xml:space="preserve">عبدالله حسين علي العبدالله أربيع </t>
  </si>
  <si>
    <t>97879900</t>
  </si>
  <si>
    <t xml:space="preserve"> الصديق  قطعة 7  شارع عبداللطيف خليفة قسيمة 271 -م 1-الرقم الالي 19609959</t>
  </si>
  <si>
    <t>M000898</t>
  </si>
  <si>
    <t>ممدوح عبدالعزيز العنزي</t>
  </si>
  <si>
    <t>95550150</t>
  </si>
  <si>
    <t>ابو حليفة قطعة 1 شارع 7 قسيمة 808 -الرقم الالي 90895644</t>
  </si>
  <si>
    <t>M000899</t>
  </si>
  <si>
    <t xml:space="preserve">شركة سما كابيتال العالمية </t>
  </si>
  <si>
    <t xml:space="preserve"> الفروانية  قطعة 1  شارع 88 قسيمة 68112 -الرقم الالي 94137242</t>
  </si>
  <si>
    <t>M000900</t>
  </si>
  <si>
    <t xml:space="preserve">فهد محمد نايف الدبوس </t>
  </si>
  <si>
    <t>50654455</t>
  </si>
  <si>
    <t xml:space="preserve"> المسايل  قطعة 2 - قسيمة 82</t>
  </si>
  <si>
    <t>M000901</t>
  </si>
  <si>
    <t xml:space="preserve">محمد سلطان الزعبي </t>
  </si>
  <si>
    <t>55516669</t>
  </si>
  <si>
    <t>الحارس 51579818</t>
  </si>
  <si>
    <t xml:space="preserve"> ام الهيمان   قطعة 9  شارع 24 قسيمة 3 </t>
  </si>
  <si>
    <t xml:space="preserve">ام الهيمان </t>
  </si>
  <si>
    <t>M000902</t>
  </si>
  <si>
    <t xml:space="preserve">سناء عبدالحميد زلوم </t>
  </si>
  <si>
    <t>99078060</t>
  </si>
  <si>
    <t xml:space="preserve"> السرة  قطعة 4  شارع 11 قسيمة 24 </t>
  </si>
  <si>
    <t>M000903</t>
  </si>
  <si>
    <t>بدر علي النصار</t>
  </si>
  <si>
    <t>99382988</t>
  </si>
  <si>
    <t>حولي - قطعة 2 - شارع 65 - قسيمة 19703 - الرقم الآلي للعنوان 92775339</t>
  </si>
  <si>
    <t>M000904</t>
  </si>
  <si>
    <t>........................... عقد ملغي</t>
  </si>
  <si>
    <t>99555344</t>
  </si>
  <si>
    <t>المنقف - ق2 - ش 1 - منزل 4 - الرقم الآلي 13518941</t>
  </si>
  <si>
    <t>M000905</t>
  </si>
  <si>
    <t xml:space="preserve">جهاد فاضل سالم بوغيث </t>
  </si>
  <si>
    <t>50280898</t>
  </si>
  <si>
    <t xml:space="preserve"> جابر الاحمد  قطعة 6  شارع 578 قسيمة 1061 </t>
  </si>
  <si>
    <t>جابر الاحمد</t>
  </si>
  <si>
    <t>M000906</t>
  </si>
  <si>
    <t>الرقعي - ق1 - ش 12 - قسيمة 52</t>
  </si>
  <si>
    <t>M000907</t>
  </si>
  <si>
    <t>الرقعي - ق1 - ش 12 - قسيمة 53</t>
  </si>
  <si>
    <t>M000908</t>
  </si>
  <si>
    <t>صباح السالم - ق1 - ش116 - م 165</t>
  </si>
  <si>
    <t>M000909</t>
  </si>
  <si>
    <t xml:space="preserve"> Global Identity شركة </t>
  </si>
  <si>
    <t>92291069</t>
  </si>
  <si>
    <t xml:space="preserve"> السالمية  قطعة 6  شارع قطر قسيمة 15520 -مبني فلاح المطيري </t>
  </si>
  <si>
    <t>M000910</t>
  </si>
  <si>
    <t xml:space="preserve"> السالمية  قطعة 3  شارع عمرو بن العاص  قسيمة 1 - الرقم الآلي 91739678</t>
  </si>
  <si>
    <t>M000911</t>
  </si>
  <si>
    <t xml:space="preserve">شركة عون العقارية  </t>
  </si>
  <si>
    <t xml:space="preserve"> ميدان حولي   قطعة 11  شارع موسي عبدالرزاق - الرقم الالي 93267088</t>
  </si>
  <si>
    <t>M000912</t>
  </si>
  <si>
    <t xml:space="preserve">شركة درة العالم /حامد عبدالله عوض وشريكه </t>
  </si>
  <si>
    <t>97155557</t>
  </si>
  <si>
    <t xml:space="preserve"> المهبولة  قطعة 3  شارع 302 قسيمة 216 - الرقم الالي 92784163</t>
  </si>
  <si>
    <t xml:space="preserve">سموكي شبرا </t>
  </si>
  <si>
    <t>M000913</t>
  </si>
  <si>
    <t xml:space="preserve">أحمد محمد الزعتري </t>
  </si>
  <si>
    <t>99641402</t>
  </si>
  <si>
    <t xml:space="preserve"> الرميثية  قطعة 5  شارع 53 قسيمة 10 </t>
  </si>
  <si>
    <t>VVVF+كنترول طوارئ</t>
  </si>
  <si>
    <t>مصعد ركاب VVVF</t>
  </si>
  <si>
    <t xml:space="preserve">ماكينة 8 حصان </t>
  </si>
  <si>
    <t>M000914</t>
  </si>
  <si>
    <t xml:space="preserve"> الفروانية  قطعة 1  شارع 88 قسيمة 68116  - الرقم الالي 94377297</t>
  </si>
  <si>
    <t xml:space="preserve">مونتناري 10 حصان </t>
  </si>
  <si>
    <t>M000915</t>
  </si>
  <si>
    <t xml:space="preserve">صباح خالد صالح الغنيم </t>
  </si>
  <si>
    <t>99866990</t>
  </si>
  <si>
    <t xml:space="preserve"> الشويخ  قطعة 4  شارع ناصر الخرافي  قسيمة 68 - الرقم الالي 10493021</t>
  </si>
  <si>
    <t xml:space="preserve">هيتاشي </t>
  </si>
  <si>
    <t>Hitachi</t>
  </si>
  <si>
    <t>M000916</t>
  </si>
  <si>
    <t xml:space="preserve">99571388- الحارس موفيس </t>
  </si>
  <si>
    <t xml:space="preserve"> جنوب السرة - الزهراء  قطعة 4  شارع 423 قسيمة 42 - الرقم الالي 16908312</t>
  </si>
  <si>
    <t>جنوب السرة</t>
  </si>
  <si>
    <t>M000917</t>
  </si>
  <si>
    <t xml:space="preserve">فهد سليمان فهد الفهد </t>
  </si>
  <si>
    <t>99646400</t>
  </si>
  <si>
    <t xml:space="preserve"> قرطبة  قطعة 1  جادة 4 قسيمة 11 </t>
  </si>
  <si>
    <t>M000918</t>
  </si>
  <si>
    <t>أحمد خليفة راشد الغريب</t>
  </si>
  <si>
    <t>99015028</t>
  </si>
  <si>
    <t xml:space="preserve"> الرميثية  قطعة 3  شارع أحمد بن حنبل   جادة 35 قسيمة 6 أ-الرقم الألي 16352967</t>
  </si>
  <si>
    <t>M000919</t>
  </si>
  <si>
    <t xml:space="preserve"> الرميثية  قطعة 3  شارع أحمد بن حنبل   جادة 35 قسيمة 6 -الرقم الالي 11744654</t>
  </si>
  <si>
    <t>stops</t>
  </si>
  <si>
    <t>Prj_Cat</t>
  </si>
  <si>
    <t>Strt_DT</t>
  </si>
  <si>
    <t>End_DT</t>
  </si>
  <si>
    <t>Notes</t>
  </si>
  <si>
    <t>EndGntyDt</t>
  </si>
  <si>
    <t>Prj_Dt</t>
  </si>
  <si>
    <t>Cust_No</t>
  </si>
  <si>
    <t>NetVal</t>
  </si>
  <si>
    <t>Part_no</t>
  </si>
  <si>
    <t>Strt_Ar</t>
  </si>
  <si>
    <t>strt2</t>
  </si>
  <si>
    <t>Flat_no</t>
  </si>
  <si>
    <t>SprPrts</t>
  </si>
  <si>
    <t>Regn_No</t>
  </si>
  <si>
    <t>Expr1</t>
  </si>
  <si>
    <t>REGN_NM_ar</t>
  </si>
  <si>
    <t>REGN_NM_en</t>
  </si>
  <si>
    <t>emp_nm_AR</t>
  </si>
  <si>
    <t>emp_nm_en</t>
  </si>
  <si>
    <t>speed</t>
  </si>
  <si>
    <t>Stnd_Cnt</t>
  </si>
  <si>
    <t>Spd</t>
  </si>
  <si>
    <t>Cnt</t>
  </si>
  <si>
    <t>camp_Cnt</t>
  </si>
  <si>
    <t>2022-05-18</t>
  </si>
  <si>
    <t>A000174</t>
  </si>
  <si>
    <t xml:space="preserve">فهد غثيث المطيري </t>
  </si>
  <si>
    <t>66409750</t>
  </si>
  <si>
    <t>100502</t>
  </si>
  <si>
    <t xml:space="preserve"> المطلاع- N4 - قسيمة 211</t>
  </si>
  <si>
    <t>A000178</t>
  </si>
  <si>
    <t>محمد غثيث المطيري</t>
  </si>
  <si>
    <t>66695552</t>
  </si>
  <si>
    <t>2022-05-30</t>
  </si>
  <si>
    <t>100503</t>
  </si>
  <si>
    <t>A000204</t>
  </si>
  <si>
    <t>بدر رحيل المهندي</t>
  </si>
  <si>
    <t>66621288</t>
  </si>
  <si>
    <t>2022-06-29</t>
  </si>
  <si>
    <t>100504</t>
  </si>
  <si>
    <t>المطلاع - ق N6 قسيمة 477</t>
  </si>
  <si>
    <t>A000231</t>
  </si>
  <si>
    <t>مشعل الكوس</t>
  </si>
  <si>
    <t>90005444</t>
  </si>
  <si>
    <t>2022-08-25</t>
  </si>
  <si>
    <t>100505</t>
  </si>
  <si>
    <t xml:space="preserve"> المطلاع – ق8N – قسيمة 132</t>
  </si>
  <si>
    <t>1.00متر / ثانية</t>
  </si>
  <si>
    <t>2 زاوية</t>
  </si>
  <si>
    <t>1M/S</t>
  </si>
  <si>
    <t>A000949</t>
  </si>
  <si>
    <t xml:space="preserve">سالم حامد علي الشمري </t>
  </si>
  <si>
    <t>فاتورة 456</t>
  </si>
  <si>
    <t>96699836</t>
  </si>
  <si>
    <t>2023-10-23</t>
  </si>
  <si>
    <t>100599</t>
  </si>
  <si>
    <t xml:space="preserve">  المطلاع قطعة 4 شارع N9 منزل 29 </t>
  </si>
  <si>
    <t>N9</t>
  </si>
  <si>
    <t>29</t>
  </si>
  <si>
    <t>A000950</t>
  </si>
  <si>
    <t>ناصر نواف ناصر المطيري</t>
  </si>
  <si>
    <t>فاتورة 457 - تم تعديل وطباعة عقد جديد تاريخ 24/09/2024</t>
  </si>
  <si>
    <t>67689898</t>
  </si>
  <si>
    <t>2023-10-24</t>
  </si>
  <si>
    <t>100592</t>
  </si>
  <si>
    <t xml:space="preserve"> المطلاع قطعة N4  منزل 722 </t>
  </si>
  <si>
    <t>N4</t>
  </si>
  <si>
    <t>722</t>
  </si>
  <si>
    <t>A000951</t>
  </si>
  <si>
    <t>أحمد فرحان متعب المطرود الظفيري</t>
  </si>
  <si>
    <t>سعر العقد الاجمالي ب 4,080</t>
  </si>
  <si>
    <t>60777477</t>
  </si>
  <si>
    <t>100593</t>
  </si>
  <si>
    <t>المطلاع- N4 - قطعة 4 - قسيمة 62</t>
  </si>
  <si>
    <t>A000952</t>
  </si>
  <si>
    <t xml:space="preserve">أحمد عيا سري المطيري </t>
  </si>
  <si>
    <t>فاتورة 952</t>
  </si>
  <si>
    <t>50500262</t>
  </si>
  <si>
    <t>100594</t>
  </si>
  <si>
    <t xml:space="preserve"> المطلاع قطعة 1 شارع N3  منزل 95 </t>
  </si>
  <si>
    <t>N3</t>
  </si>
  <si>
    <t>95</t>
  </si>
  <si>
    <t>A000953</t>
  </si>
  <si>
    <t>بدر جاسم حمود المعييف</t>
  </si>
  <si>
    <t>66187777</t>
  </si>
  <si>
    <t>2023-10-26</t>
  </si>
  <si>
    <t>100596</t>
  </si>
  <si>
    <t xml:space="preserve"> المطلاع  قطعة 3  شارع N10  منزل 425 </t>
  </si>
  <si>
    <t>N10</t>
  </si>
  <si>
    <t>425</t>
  </si>
  <si>
    <t>Salmiya</t>
  </si>
  <si>
    <t>1 في إتجاه واحد</t>
  </si>
  <si>
    <t xml:space="preserve">Sobah Al- Ahmed </t>
  </si>
  <si>
    <t>A000971</t>
  </si>
  <si>
    <t xml:space="preserve">خالده صالح الشايع </t>
  </si>
  <si>
    <t>المصدر /ابو معتز /العرض تبع المهندس علي دشتي -تم زياده السعر الي 4800</t>
  </si>
  <si>
    <t>2024-02-12</t>
  </si>
  <si>
    <t>200042</t>
  </si>
  <si>
    <t xml:space="preserve"> كيفان   قطعة 6  شارع 64 </t>
  </si>
  <si>
    <t>64</t>
  </si>
  <si>
    <t xml:space="preserve">كيفان </t>
  </si>
  <si>
    <t>A000972</t>
  </si>
  <si>
    <t>المصدر ابو معتز /العرض تبع م علي دشتي -تم زياده السعر الي 5200</t>
  </si>
  <si>
    <t>2025-02-12</t>
  </si>
  <si>
    <t xml:space="preserve"> كيفان  قطعة 6  شارع 64 </t>
  </si>
  <si>
    <t>KEFAN</t>
  </si>
  <si>
    <t>A000973</t>
  </si>
  <si>
    <t xml:space="preserve">سالم دخيل فراج العازمي </t>
  </si>
  <si>
    <t>المصدر جوجل /شعبان /عبد الناصر /العقد خارج السيستم /سنتين صيانة</t>
  </si>
  <si>
    <t>97977342</t>
  </si>
  <si>
    <t>2025-02-18</t>
  </si>
  <si>
    <t>200043</t>
  </si>
  <si>
    <t xml:space="preserve"> المطلاع  قطعة 3  شارع n12 قسيمة 17 </t>
  </si>
  <si>
    <t>n12</t>
  </si>
  <si>
    <t>17</t>
  </si>
  <si>
    <t>A000975</t>
  </si>
  <si>
    <t xml:space="preserve">راجح علي بخيت الجميلي </t>
  </si>
  <si>
    <t xml:space="preserve">المصدر عبد الناصر / العرض خارج السيستم عرض فبراير /العنوان مش كامل </t>
  </si>
  <si>
    <t xml:space="preserve"> 65686888</t>
  </si>
  <si>
    <t>2025-03-03</t>
  </si>
  <si>
    <t>200045</t>
  </si>
  <si>
    <t xml:space="preserve"> المطلاع  قطعة 4-n12- قسيمة 206 </t>
  </si>
  <si>
    <t>206</t>
  </si>
  <si>
    <t>A000976</t>
  </si>
  <si>
    <t xml:space="preserve">راشد عبد المجيد عبدالله </t>
  </si>
  <si>
    <t xml:space="preserve">المصدر انستجرام -امل -عبد الناصر - صيانة 2 سنه مجاني </t>
  </si>
  <si>
    <t>66676515-99086311</t>
  </si>
  <si>
    <t>2025-03-04</t>
  </si>
  <si>
    <t>200052</t>
  </si>
  <si>
    <t xml:space="preserve"> جنوب عبدالله مبارك   قطعة 2 قسيمة 510 </t>
  </si>
  <si>
    <t>510</t>
  </si>
  <si>
    <t>2025-04-28</t>
  </si>
  <si>
    <t>A000978</t>
  </si>
  <si>
    <t xml:space="preserve">جاسم علي محمد عيسي </t>
  </si>
  <si>
    <t>المصدر عبد الناصر -العقد خارج السيستم التركيب 3400&amp;250 طوارئ كنترول</t>
  </si>
  <si>
    <t>97400844</t>
  </si>
  <si>
    <t>2025-04-14</t>
  </si>
  <si>
    <t>200063</t>
  </si>
  <si>
    <t xml:space="preserve"> المطلاع  قطعة N4 قسيمة 164 </t>
  </si>
  <si>
    <t>164</t>
  </si>
  <si>
    <t>A000979</t>
  </si>
  <si>
    <t xml:space="preserve">عبدالله محمود غلوم أرتي </t>
  </si>
  <si>
    <t xml:space="preserve">المصدر عبد الناصر /كفاله 20سنه </t>
  </si>
  <si>
    <t>94404448</t>
  </si>
  <si>
    <t>200066</t>
  </si>
  <si>
    <t xml:space="preserve"> المطلاع  قطعة 1  شارع n11 قسيمة 475 </t>
  </si>
  <si>
    <t>n11</t>
  </si>
  <si>
    <t>475</t>
  </si>
  <si>
    <t>A000982</t>
  </si>
  <si>
    <t xml:space="preserve">عمر سرهيد عمر سعد الهاجري </t>
  </si>
  <si>
    <t xml:space="preserve">المصدر عبد الناصر </t>
  </si>
  <si>
    <t>52525800</t>
  </si>
  <si>
    <t>2025-06-17</t>
  </si>
  <si>
    <t>200082</t>
  </si>
  <si>
    <t xml:space="preserve"> المطلاع  قطعة 4 -N1قسيمة 437 </t>
  </si>
  <si>
    <t>437</t>
  </si>
  <si>
    <t>A000983</t>
  </si>
  <si>
    <t xml:space="preserve">شركة دريم هوم (فيلا مهندس أحمد الصايغ) </t>
  </si>
  <si>
    <t xml:space="preserve">المصدر م /امل /الديكور كامل مرفق في الفايل وتم ارساله للعميل </t>
  </si>
  <si>
    <t>97717157</t>
  </si>
  <si>
    <t>2025-06-23</t>
  </si>
  <si>
    <t>200084</t>
  </si>
  <si>
    <t xml:space="preserve"> صباح الاحمد -قطعة 3 -قسيمة 340-PACI 94101637 </t>
  </si>
  <si>
    <t>340</t>
  </si>
  <si>
    <t>A000985</t>
  </si>
  <si>
    <t>فراج دخيل فراج العازمي</t>
  </si>
  <si>
    <t>صيانة سنتين - توقيع عبد الناصر</t>
  </si>
  <si>
    <t>66693679</t>
  </si>
  <si>
    <t>2025-08-10</t>
  </si>
  <si>
    <t>200096</t>
  </si>
  <si>
    <t>المطلاع - N12 - قطعة 2 - قسيمة 286</t>
  </si>
  <si>
    <t>A000986</t>
  </si>
  <si>
    <t xml:space="preserve">شركة النسائم لمواد وأدوات التجميل </t>
  </si>
  <si>
    <t>المصدر جوجل أمل /ابو معتز العرض خارج السيستم هيدروليك /صيانه 2 سنه / المقاول جوزيف /رافعه هيدروليك 6م</t>
  </si>
  <si>
    <t>66810109</t>
  </si>
  <si>
    <t>2025-09-27</t>
  </si>
  <si>
    <t>200105</t>
  </si>
  <si>
    <t xml:space="preserve"> السالمية  -ق 7-شارع سالم المبارك -مبني تجاري الرقم الالي 15742488</t>
  </si>
  <si>
    <t>سالم المبارك</t>
  </si>
  <si>
    <t xml:space="preserve">  t5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</si>
</sst>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8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B61CE-5F4E-45A0-93AD-296E8214165F}">
  <dimension ref="A1:P629"/>
  <sheetViews>
    <sheetView tabSelected="1" workbookViewId="0">
      <pane xSplit="2" ySplit="1" topLeftCell="C472" activePane="bottomRight" state="frozen"/>
      <selection pane="bottomLeft" activeCell="A2" sqref="A2"/>
      <selection pane="topRight" activeCell="B1" sqref="B1"/>
      <selection pane="bottomRight" activeCell="J475" sqref="J475"/>
    </sheetView>
  </sheetViews>
  <sheetFormatPr defaultRowHeight="15" x14ac:dyDescent="0.2"/>
  <cols>
    <col min="2" max="2" width="9.81640625" style="4" bestFit="1" customWidth="1"/>
    <col min="3" max="3" width="45.6015625" style="4" bestFit="1" customWidth="1"/>
    <col min="4" max="4" width="4.9765625" style="4" bestFit="1" customWidth="1"/>
    <col min="5" max="5" width="18.6953125" style="4" bestFit="1" customWidth="1"/>
    <col min="6" max="6" width="26.23046875" style="4" bestFit="1" customWidth="1"/>
    <col min="7" max="7" width="76.40625" style="4" bestFit="1" customWidth="1"/>
    <col min="8" max="8" width="15.19921875" style="4" bestFit="1" customWidth="1"/>
    <col min="9" max="9" width="26.6328125" style="4" bestFit="1" customWidth="1"/>
    <col min="10" max="10" width="6.45703125" style="4" customWidth="1"/>
    <col min="11" max="11" width="25.01953125" style="4" bestFit="1" customWidth="1"/>
    <col min="12" max="12" width="19.90625" style="4" bestFit="1" customWidth="1"/>
    <col min="13" max="13" width="25.9609375" style="4" bestFit="1" customWidth="1"/>
    <col min="14" max="14" width="15.19921875" style="4" bestFit="1" customWidth="1"/>
    <col min="15" max="15" width="11.02734375" bestFit="1" customWidth="1"/>
    <col min="16" max="16" width="10.35546875" bestFit="1" customWidth="1"/>
  </cols>
  <sheetData>
    <row r="1" spans="1:16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2605</v>
      </c>
      <c r="K1" s="2" t="s">
        <v>8</v>
      </c>
      <c r="L1" s="2" t="s">
        <v>9</v>
      </c>
      <c r="M1" s="2" t="s">
        <v>10</v>
      </c>
      <c r="N1" s="2" t="s">
        <v>11</v>
      </c>
      <c r="O1" s="1" t="s">
        <v>12</v>
      </c>
      <c r="P1" s="1" t="s">
        <v>13</v>
      </c>
    </row>
    <row r="2" spans="1:16" x14ac:dyDescent="0.2">
      <c r="A2" t="str" cm="1">
        <f t="array" ref="A2">_xlfn.LET(
    _xlpm.txt, B2,
    _xlpm.chars, MID(_xlpm.txt, _xlfn.SEQUENCE(LEN(_xlpm.txt)), 1),
    _xlpm.filtered, _xlfn._xlws.FILTER(_xlpm.chars, NOT(ISNUMBER(SEARCH(_xlpm.chars, "ABCDEFGHIJKLMNOPQRSTUVWXYZabcdefghijklmnopqrstuvwxyz")))),
    _xlfn.TEXTJOIN("",, _xlpm.filtered)
)</f>
        <v>000095</v>
      </c>
      <c r="B2" s="3" t="s">
        <v>14</v>
      </c>
      <c r="C2" s="3" t="s">
        <v>15</v>
      </c>
      <c r="D2" s="4">
        <v>360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25</v>
      </c>
      <c r="O2" t="str">
        <f>"2025-01-01"</f>
        <v>2025-01-01</v>
      </c>
      <c r="P2" t="str">
        <f>"2025-12-31"</f>
        <v>2025-12-31</v>
      </c>
    </row>
    <row r="3" spans="1:16" x14ac:dyDescent="0.2">
      <c r="A3" t="str" cm="1">
        <f t="array" ref="A3">_xlfn.LET(
    _xlpm.txt, B3,
    _xlpm.chars, MID(_xlpm.txt, _xlfn.SEQUENCE(LEN(_xlpm.txt)), 1),
    _xlpm.filtered, _xlfn._xlws.FILTER(_xlpm.chars, NOT(ISNUMBER(SEARCH(_xlpm.chars, "ABCDEFGHIJKLMNOPQRSTUVWXYZabcdefghijklmnopqrstuvwxyz")))),
    _xlfn.TEXTJOIN("",, _xlpm.filtered)
)</f>
        <v>000096</v>
      </c>
      <c r="B3" s="3" t="s">
        <v>26</v>
      </c>
      <c r="C3" s="3" t="s">
        <v>27</v>
      </c>
      <c r="D3" s="4">
        <v>360</v>
      </c>
      <c r="E3" s="3" t="s">
        <v>28</v>
      </c>
      <c r="F3" s="3" t="s">
        <v>17</v>
      </c>
      <c r="G3" s="3" t="s">
        <v>29</v>
      </c>
      <c r="H3" s="3" t="s">
        <v>19</v>
      </c>
      <c r="I3" s="3" t="s">
        <v>20</v>
      </c>
      <c r="J3" s="3" t="s">
        <v>21</v>
      </c>
      <c r="K3" s="3" t="s">
        <v>22</v>
      </c>
      <c r="L3" s="3" t="s">
        <v>23</v>
      </c>
      <c r="M3" s="3" t="s">
        <v>24</v>
      </c>
      <c r="N3" s="3" t="s">
        <v>25</v>
      </c>
      <c r="O3" t="str">
        <f>"2025-01-01"</f>
        <v>2025-01-01</v>
      </c>
      <c r="P3" t="str">
        <f>"2025-12-31"</f>
        <v>2025-12-31</v>
      </c>
    </row>
    <row r="4" spans="1:16" x14ac:dyDescent="0.2">
      <c r="A4" t="str" cm="1">
        <f t="array" ref="A4">_xlfn.LET(
    _xlpm.txt, B4,
    _xlpm.chars, MID(_xlpm.txt, _xlfn.SEQUENCE(LEN(_xlpm.txt)), 1),
    _xlpm.filtered, _xlfn._xlws.FILTER(_xlpm.chars, NOT(ISNUMBER(SEARCH(_xlpm.chars, "ABCDEFGHIJKLMNOPQRSTUVWXYZabcdefghijklmnopqrstuvwxyz")))),
    _xlfn.TEXTJOIN("",, _xlpm.filtered)
)</f>
        <v>000098</v>
      </c>
      <c r="B4" s="3" t="s">
        <v>30</v>
      </c>
      <c r="C4" s="3" t="s">
        <v>31</v>
      </c>
      <c r="D4" s="4">
        <v>120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20</v>
      </c>
      <c r="J4" s="3" t="s">
        <v>36</v>
      </c>
      <c r="K4" s="3" t="s">
        <v>37</v>
      </c>
      <c r="L4" s="3" t="s">
        <v>38</v>
      </c>
      <c r="M4" s="3" t="s">
        <v>39</v>
      </c>
      <c r="N4" s="3" t="s">
        <v>25</v>
      </c>
      <c r="O4" t="str">
        <f>"2025-03-01"</f>
        <v>2025-03-01</v>
      </c>
      <c r="P4" t="str">
        <f>"2026-02-28"</f>
        <v>2026-02-28</v>
      </c>
    </row>
    <row r="5" spans="1:16" x14ac:dyDescent="0.2">
      <c r="A5" t="str" cm="1">
        <f t="array" ref="A5">_xlfn.LET(
    _xlpm.txt, B5,
    _xlpm.chars, MID(_xlpm.txt, _xlfn.SEQUENCE(LEN(_xlpm.txt)), 1),
    _xlpm.filtered, _xlfn._xlws.FILTER(_xlpm.chars, NOT(ISNUMBER(SEARCH(_xlpm.chars, "ABCDEFGHIJKLMNOPQRSTUVWXYZabcdefghijklmnopqrstuvwxyz")))),
    _xlfn.TEXTJOIN("",, _xlpm.filtered)
)</f>
        <v>000099</v>
      </c>
      <c r="B5" s="3" t="s">
        <v>40</v>
      </c>
      <c r="C5" s="3" t="s">
        <v>41</v>
      </c>
      <c r="D5" s="4">
        <v>150</v>
      </c>
      <c r="E5" s="3" t="s">
        <v>42</v>
      </c>
      <c r="F5" s="3" t="s">
        <v>33</v>
      </c>
      <c r="G5" s="3" t="s">
        <v>43</v>
      </c>
      <c r="H5" s="3" t="s">
        <v>44</v>
      </c>
      <c r="I5" s="3" t="s">
        <v>20</v>
      </c>
      <c r="J5" s="3" t="s">
        <v>36</v>
      </c>
      <c r="K5" s="3" t="s">
        <v>46</v>
      </c>
      <c r="L5" s="3" t="s">
        <v>47</v>
      </c>
      <c r="M5" s="3" t="s">
        <v>48</v>
      </c>
      <c r="N5" s="3" t="s">
        <v>25</v>
      </c>
      <c r="O5" t="str">
        <f>"2025-04-01"</f>
        <v>2025-04-01</v>
      </c>
      <c r="P5" t="str">
        <f>"2026-03-31"</f>
        <v>2026-03-31</v>
      </c>
    </row>
    <row r="6" spans="1:16" x14ac:dyDescent="0.2">
      <c r="A6" t="str" cm="1">
        <f t="array" ref="A6">_xlfn.LET(
    _xlpm.txt, B6,
    _xlpm.chars, MID(_xlpm.txt, _xlfn.SEQUENCE(LEN(_xlpm.txt)), 1),
    _xlpm.filtered, _xlfn._xlws.FILTER(_xlpm.chars, NOT(ISNUMBER(SEARCH(_xlpm.chars, "ABCDEFGHIJKLMNOPQRSTUVWXYZabcdefghijklmnopqrstuvwxyz")))),
    _xlfn.TEXTJOIN("",, _xlpm.filtered)
)</f>
        <v>000100</v>
      </c>
      <c r="B6" s="3" t="s">
        <v>49</v>
      </c>
      <c r="C6" s="3" t="s">
        <v>50</v>
      </c>
      <c r="D6" s="4">
        <v>150</v>
      </c>
      <c r="E6" s="3" t="s">
        <v>51</v>
      </c>
      <c r="F6" s="3" t="s">
        <v>52</v>
      </c>
      <c r="G6" s="3" t="s">
        <v>53</v>
      </c>
      <c r="H6" s="3" t="s">
        <v>44</v>
      </c>
      <c r="I6" s="3" t="s">
        <v>20</v>
      </c>
      <c r="J6" s="3" t="s">
        <v>36</v>
      </c>
      <c r="K6" s="3" t="s">
        <v>37</v>
      </c>
      <c r="L6" s="3" t="s">
        <v>38</v>
      </c>
      <c r="M6" s="3" t="s">
        <v>24</v>
      </c>
      <c r="N6" s="3" t="s">
        <v>25</v>
      </c>
      <c r="O6" t="str">
        <f>"2024-08-01"</f>
        <v>2024-08-01</v>
      </c>
      <c r="P6" t="str">
        <f>"2025-07-31"</f>
        <v>2025-07-31</v>
      </c>
    </row>
    <row r="7" spans="1:16" x14ac:dyDescent="0.2">
      <c r="A7" t="str" cm="1">
        <f t="array" ref="A7">_xlfn.LET(
    _xlpm.txt, B7,
    _xlpm.chars, MID(_xlpm.txt, _xlfn.SEQUENCE(LEN(_xlpm.txt)), 1),
    _xlpm.filtered, _xlfn._xlws.FILTER(_xlpm.chars, NOT(ISNUMBER(SEARCH(_xlpm.chars, "ABCDEFGHIJKLMNOPQRSTUVWXYZabcdefghijklmnopqrstuvwxyz")))),
    _xlfn.TEXTJOIN("",, _xlpm.filtered)
)</f>
        <v>000102</v>
      </c>
      <c r="B7" s="3" t="s">
        <v>54</v>
      </c>
      <c r="C7" s="3" t="s">
        <v>55</v>
      </c>
      <c r="D7" s="4">
        <v>180</v>
      </c>
      <c r="E7" s="3" t="s">
        <v>56</v>
      </c>
      <c r="F7" s="3" t="s">
        <v>57</v>
      </c>
      <c r="G7" s="3" t="s">
        <v>58</v>
      </c>
      <c r="H7" s="3" t="s">
        <v>59</v>
      </c>
      <c r="I7" s="3" t="s">
        <v>20</v>
      </c>
      <c r="J7" s="3" t="s">
        <v>60</v>
      </c>
      <c r="K7" s="3" t="s">
        <v>61</v>
      </c>
      <c r="L7" s="3" t="s">
        <v>38</v>
      </c>
      <c r="M7" s="3" t="s">
        <v>62</v>
      </c>
      <c r="N7" s="3" t="s">
        <v>25</v>
      </c>
      <c r="O7" t="str">
        <f>"2025-01-01"</f>
        <v>2025-01-01</v>
      </c>
      <c r="P7" t="str">
        <f>"2025-12-31"</f>
        <v>2025-12-31</v>
      </c>
    </row>
    <row r="8" spans="1:16" x14ac:dyDescent="0.2">
      <c r="A8" t="str" cm="1">
        <f t="array" ref="A8">_xlfn.LET(
    _xlpm.txt, B8,
    _xlpm.chars, MID(_xlpm.txt, _xlfn.SEQUENCE(LEN(_xlpm.txt)), 1),
    _xlpm.filtered, _xlfn._xlws.FILTER(_xlpm.chars, NOT(ISNUMBER(SEARCH(_xlpm.chars, "ABCDEFGHIJKLMNOPQRSTUVWXYZabcdefghijklmnopqrstuvwxyz")))),
    _xlfn.TEXTJOIN("",, _xlpm.filtered)
)</f>
        <v>000104</v>
      </c>
      <c r="B8" s="3" t="s">
        <v>63</v>
      </c>
      <c r="C8" s="3" t="s">
        <v>64</v>
      </c>
      <c r="D8" s="4">
        <v>150</v>
      </c>
      <c r="E8" s="3" t="s">
        <v>65</v>
      </c>
      <c r="F8" s="3" t="s">
        <v>33</v>
      </c>
      <c r="G8" s="3" t="s">
        <v>66</v>
      </c>
      <c r="H8" s="3" t="s">
        <v>35</v>
      </c>
      <c r="I8" s="3" t="s">
        <v>33</v>
      </c>
      <c r="J8" s="3" t="s">
        <v>67</v>
      </c>
      <c r="K8" s="3" t="s">
        <v>33</v>
      </c>
      <c r="L8" s="3" t="s">
        <v>33</v>
      </c>
      <c r="M8" s="3" t="s">
        <v>33</v>
      </c>
      <c r="N8" s="3" t="s">
        <v>25</v>
      </c>
      <c r="O8" t="str">
        <f>"2025-09-01"</f>
        <v>2025-09-01</v>
      </c>
      <c r="P8" t="str">
        <f>"2026-08-31"</f>
        <v>2026-08-31</v>
      </c>
    </row>
    <row r="9" spans="1:16" x14ac:dyDescent="0.2">
      <c r="A9" t="str" cm="1">
        <f t="array" ref="A9">_xlfn.LET(
    _xlpm.txt, B9,
    _xlpm.chars, MID(_xlpm.txt, _xlfn.SEQUENCE(LEN(_xlpm.txt)), 1),
    _xlpm.filtered, _xlfn._xlws.FILTER(_xlpm.chars, NOT(ISNUMBER(SEARCH(_xlpm.chars, "ABCDEFGHIJKLMNOPQRSTUVWXYZabcdefghijklmnopqrstuvwxyz")))),
    _xlfn.TEXTJOIN("",, _xlpm.filtered)
)</f>
        <v>000105</v>
      </c>
      <c r="B9" s="3" t="s">
        <v>68</v>
      </c>
      <c r="C9" s="3" t="s">
        <v>69</v>
      </c>
      <c r="D9" s="4">
        <v>225</v>
      </c>
      <c r="E9" s="3" t="s">
        <v>70</v>
      </c>
      <c r="F9" s="3" t="s">
        <v>71</v>
      </c>
      <c r="G9" s="3" t="s">
        <v>72</v>
      </c>
      <c r="H9" s="3" t="s">
        <v>59</v>
      </c>
      <c r="I9" s="3" t="s">
        <v>20</v>
      </c>
      <c r="J9" s="3" t="s">
        <v>73</v>
      </c>
      <c r="K9" s="3" t="s">
        <v>22</v>
      </c>
      <c r="L9" s="3" t="s">
        <v>23</v>
      </c>
      <c r="M9" s="3" t="s">
        <v>24</v>
      </c>
      <c r="N9" s="3" t="s">
        <v>25</v>
      </c>
      <c r="O9" t="str">
        <f>"2025-03-01"</f>
        <v>2025-03-01</v>
      </c>
      <c r="P9" t="str">
        <f>"2026-02-28"</f>
        <v>2026-02-28</v>
      </c>
    </row>
    <row r="10" spans="1:16" x14ac:dyDescent="0.2">
      <c r="A10" t="str" cm="1">
        <f t="array" ref="A10">_xlfn.LET(
    _xlpm.txt, B10,
    _xlpm.chars, MID(_xlpm.txt, _xlfn.SEQUENCE(LEN(_xlpm.txt)), 1),
    _xlpm.filtered, _xlfn._xlws.FILTER(_xlpm.chars, NOT(ISNUMBER(SEARCH(_xlpm.chars, "ABCDEFGHIJKLMNOPQRSTUVWXYZabcdefghijklmnopqrstuvwxyz")))),
    _xlfn.TEXTJOIN("",, _xlpm.filtered)
)</f>
        <v>000106</v>
      </c>
      <c r="B10" s="3" t="s">
        <v>74</v>
      </c>
      <c r="C10" s="3" t="s">
        <v>75</v>
      </c>
      <c r="D10" s="4">
        <v>180</v>
      </c>
      <c r="E10" s="3" t="s">
        <v>76</v>
      </c>
      <c r="F10" s="3" t="s">
        <v>57</v>
      </c>
      <c r="G10" s="3" t="s">
        <v>77</v>
      </c>
      <c r="H10" s="3" t="s">
        <v>59</v>
      </c>
      <c r="I10" s="3" t="s">
        <v>20</v>
      </c>
      <c r="J10" s="3" t="s">
        <v>60</v>
      </c>
      <c r="K10" s="3" t="s">
        <v>78</v>
      </c>
      <c r="L10" s="3" t="s">
        <v>38</v>
      </c>
      <c r="M10" s="3" t="s">
        <v>62</v>
      </c>
      <c r="N10" s="3" t="s">
        <v>25</v>
      </c>
      <c r="O10" t="str">
        <f>"2025-01-01"</f>
        <v>2025-01-01</v>
      </c>
      <c r="P10" t="str">
        <f>"2025-12-31"</f>
        <v>2025-12-31</v>
      </c>
    </row>
    <row r="11" spans="1:16" x14ac:dyDescent="0.2">
      <c r="A11" t="str" cm="1">
        <f t="array" ref="A11">_xlfn.LET(
    _xlpm.txt, B11,
    _xlpm.chars, MID(_xlpm.txt, _xlfn.SEQUENCE(LEN(_xlpm.txt)), 1),
    _xlpm.filtered, _xlfn._xlws.FILTER(_xlpm.chars, NOT(ISNUMBER(SEARCH(_xlpm.chars, "ABCDEFGHIJKLMNOPQRSTUVWXYZabcdefghijklmnopqrstuvwxyz")))),
    _xlfn.TEXTJOIN("",, _xlpm.filtered)
)</f>
        <v>000107</v>
      </c>
      <c r="B11" s="3" t="s">
        <v>79</v>
      </c>
      <c r="C11" s="3" t="s">
        <v>80</v>
      </c>
      <c r="D11" s="4">
        <v>150</v>
      </c>
      <c r="E11" s="3" t="s">
        <v>81</v>
      </c>
      <c r="F11" s="3" t="s">
        <v>82</v>
      </c>
      <c r="G11" s="3" t="s">
        <v>83</v>
      </c>
      <c r="H11" s="3" t="s">
        <v>84</v>
      </c>
      <c r="I11" s="3" t="s">
        <v>20</v>
      </c>
      <c r="J11" s="3" t="s">
        <v>85</v>
      </c>
      <c r="K11" s="3" t="s">
        <v>22</v>
      </c>
      <c r="L11" s="3" t="s">
        <v>86</v>
      </c>
      <c r="M11" s="3" t="s">
        <v>87</v>
      </c>
      <c r="N11" s="3" t="s">
        <v>25</v>
      </c>
      <c r="O11" t="str">
        <f>"2024-12-01"</f>
        <v>2024-12-01</v>
      </c>
      <c r="P11" t="str">
        <f>"2025-11-30"</f>
        <v>2025-11-30</v>
      </c>
    </row>
    <row r="12" spans="1:16" x14ac:dyDescent="0.2">
      <c r="A12" t="str" cm="1">
        <f t="array" ref="A12">_xlfn.LET(
    _xlpm.txt, B12,
    _xlpm.chars, MID(_xlpm.txt, _xlfn.SEQUENCE(LEN(_xlpm.txt)), 1),
    _xlpm.filtered, _xlfn._xlws.FILTER(_xlpm.chars, NOT(ISNUMBER(SEARCH(_xlpm.chars, "ABCDEFGHIJKLMNOPQRSTUVWXYZabcdefghijklmnopqrstuvwxyz")))),
    _xlfn.TEXTJOIN("",, _xlpm.filtered)
)</f>
        <v>000110</v>
      </c>
      <c r="B12" s="3" t="s">
        <v>88</v>
      </c>
      <c r="C12" s="3" t="s">
        <v>89</v>
      </c>
      <c r="D12" s="4">
        <v>360</v>
      </c>
      <c r="E12" s="3" t="s">
        <v>90</v>
      </c>
      <c r="F12" s="3" t="s">
        <v>33</v>
      </c>
      <c r="G12" s="3" t="s">
        <v>91</v>
      </c>
      <c r="H12" s="3" t="s">
        <v>84</v>
      </c>
      <c r="I12" s="3" t="s">
        <v>20</v>
      </c>
      <c r="J12" s="3" t="s">
        <v>73</v>
      </c>
      <c r="K12" s="3" t="s">
        <v>37</v>
      </c>
      <c r="L12" s="3" t="s">
        <v>38</v>
      </c>
      <c r="M12" s="3" t="s">
        <v>92</v>
      </c>
      <c r="N12" s="3" t="s">
        <v>25</v>
      </c>
      <c r="O12" t="str">
        <f>"2025-01-01"</f>
        <v>2025-01-01</v>
      </c>
      <c r="P12" t="str">
        <f>"2025-12-31"</f>
        <v>2025-12-31</v>
      </c>
    </row>
    <row r="13" spans="1:16" x14ac:dyDescent="0.2">
      <c r="A13" t="str" cm="1">
        <f t="array" ref="A13">_xlfn.LET(
    _xlpm.txt, B13,
    _xlpm.chars, MID(_xlpm.txt, _xlfn.SEQUENCE(LEN(_xlpm.txt)), 1),
    _xlpm.filtered, _xlfn._xlws.FILTER(_xlpm.chars, NOT(ISNUMBER(SEARCH(_xlpm.chars, "ABCDEFGHIJKLMNOPQRSTUVWXYZabcdefghijklmnopqrstuvwxyz")))),
    _xlfn.TEXTJOIN("",, _xlpm.filtered)
)</f>
        <v>000111</v>
      </c>
      <c r="B13" s="3" t="s">
        <v>93</v>
      </c>
      <c r="C13" s="3" t="s">
        <v>94</v>
      </c>
      <c r="D13" s="4">
        <v>140</v>
      </c>
      <c r="E13" s="3" t="s">
        <v>95</v>
      </c>
      <c r="F13" s="3" t="s">
        <v>96</v>
      </c>
      <c r="G13" s="3" t="s">
        <v>97</v>
      </c>
      <c r="H13" s="3" t="s">
        <v>98</v>
      </c>
      <c r="I13" s="3" t="s">
        <v>20</v>
      </c>
      <c r="J13" s="3" t="s">
        <v>67</v>
      </c>
      <c r="K13" s="3" t="s">
        <v>38</v>
      </c>
      <c r="L13" s="3" t="s">
        <v>86</v>
      </c>
      <c r="M13" s="3" t="s">
        <v>99</v>
      </c>
      <c r="N13" s="3" t="s">
        <v>25</v>
      </c>
      <c r="O13" t="str">
        <f>"2024-12-01"</f>
        <v>2024-12-01</v>
      </c>
      <c r="P13" t="str">
        <f>"2025-11-30"</f>
        <v>2025-11-30</v>
      </c>
    </row>
    <row r="14" spans="1:16" x14ac:dyDescent="0.2">
      <c r="A14" t="str" cm="1">
        <f t="array" ref="A14">_xlfn.LET(
    _xlpm.txt, B14,
    _xlpm.chars, MID(_xlpm.txt, _xlfn.SEQUENCE(LEN(_xlpm.txt)), 1),
    _xlpm.filtered, _xlfn._xlws.FILTER(_xlpm.chars, NOT(ISNUMBER(SEARCH(_xlpm.chars, "ABCDEFGHIJKLMNOPQRSTUVWXYZabcdefghijklmnopqrstuvwxyz")))),
    _xlfn.TEXTJOIN("",, _xlpm.filtered)
)</f>
        <v>000113</v>
      </c>
      <c r="B14" s="3" t="s">
        <v>100</v>
      </c>
      <c r="C14" s="3" t="s">
        <v>101</v>
      </c>
      <c r="D14" s="4">
        <v>100</v>
      </c>
      <c r="E14" s="3" t="s">
        <v>102</v>
      </c>
      <c r="F14" s="3" t="s">
        <v>103</v>
      </c>
      <c r="G14" s="3" t="s">
        <v>104</v>
      </c>
      <c r="H14" s="3" t="s">
        <v>105</v>
      </c>
      <c r="I14" s="3" t="s">
        <v>20</v>
      </c>
      <c r="J14" s="3" t="s">
        <v>67</v>
      </c>
      <c r="K14" s="3" t="s">
        <v>37</v>
      </c>
      <c r="L14" s="3" t="s">
        <v>38</v>
      </c>
      <c r="M14" s="3" t="s">
        <v>24</v>
      </c>
      <c r="N14" s="3" t="s">
        <v>25</v>
      </c>
      <c r="O14" t="str">
        <f>"2025-03-15"</f>
        <v>2025-03-15</v>
      </c>
      <c r="P14" t="str">
        <f>"2026-03-14"</f>
        <v>2026-03-14</v>
      </c>
    </row>
    <row r="15" spans="1:16" x14ac:dyDescent="0.2">
      <c r="A15" t="str" cm="1">
        <f t="array" ref="A15">_xlfn.LET(
    _xlpm.txt, B15,
    _xlpm.chars, MID(_xlpm.txt, _xlfn.SEQUENCE(LEN(_xlpm.txt)), 1),
    _xlpm.filtered, _xlfn._xlws.FILTER(_xlpm.chars, NOT(ISNUMBER(SEARCH(_xlpm.chars, "ABCDEFGHIJKLMNOPQRSTUVWXYZabcdefghijklmnopqrstuvwxyz")))),
    _xlfn.TEXTJOIN("",, _xlpm.filtered)
)</f>
        <v>000114</v>
      </c>
      <c r="B15" s="3" t="s">
        <v>106</v>
      </c>
      <c r="C15" s="3" t="s">
        <v>101</v>
      </c>
      <c r="D15" s="4">
        <v>100</v>
      </c>
      <c r="E15" s="3" t="s">
        <v>102</v>
      </c>
      <c r="F15" s="3" t="s">
        <v>33</v>
      </c>
      <c r="G15" s="3" t="s">
        <v>107</v>
      </c>
      <c r="H15" s="3" t="s">
        <v>105</v>
      </c>
      <c r="I15" s="3" t="s">
        <v>20</v>
      </c>
      <c r="J15" s="3" t="s">
        <v>67</v>
      </c>
      <c r="K15" s="3" t="s">
        <v>37</v>
      </c>
      <c r="L15" s="3" t="s">
        <v>38</v>
      </c>
      <c r="M15" s="3" t="s">
        <v>24</v>
      </c>
      <c r="N15" s="3" t="s">
        <v>25</v>
      </c>
      <c r="O15" t="str">
        <f>"2025-03-15"</f>
        <v>2025-03-15</v>
      </c>
      <c r="P15" t="str">
        <f>"2026-03-14"</f>
        <v>2026-03-14</v>
      </c>
    </row>
    <row r="16" spans="1:16" x14ac:dyDescent="0.2">
      <c r="A16" t="str" cm="1">
        <f t="array" ref="A16">_xlfn.LET(
    _xlpm.txt, B16,
    _xlpm.chars, MID(_xlpm.txt, _xlfn.SEQUENCE(LEN(_xlpm.txt)), 1),
    _xlpm.filtered, _xlfn._xlws.FILTER(_xlpm.chars, NOT(ISNUMBER(SEARCH(_xlpm.chars, "ABCDEFGHIJKLMNOPQRSTUVWXYZabcdefghijklmnopqrstuvwxyz")))),
    _xlfn.TEXTJOIN("",, _xlpm.filtered)
)</f>
        <v>000115</v>
      </c>
      <c r="B16" s="3" t="s">
        <v>108</v>
      </c>
      <c r="C16" s="3" t="s">
        <v>109</v>
      </c>
      <c r="D16" s="4">
        <v>400</v>
      </c>
      <c r="E16" s="3" t="s">
        <v>110</v>
      </c>
      <c r="F16" s="3" t="s">
        <v>33</v>
      </c>
      <c r="G16" s="3" t="s">
        <v>111</v>
      </c>
      <c r="H16" s="3" t="s">
        <v>112</v>
      </c>
      <c r="I16" s="3" t="s">
        <v>33</v>
      </c>
      <c r="J16" s="3" t="s">
        <v>67</v>
      </c>
      <c r="K16" s="3" t="s">
        <v>37</v>
      </c>
      <c r="L16" s="3" t="s">
        <v>38</v>
      </c>
      <c r="M16" s="3" t="s">
        <v>113</v>
      </c>
      <c r="N16" s="3" t="s">
        <v>25</v>
      </c>
      <c r="O16" t="str">
        <f>"2024-11-01"</f>
        <v>2024-11-01</v>
      </c>
      <c r="P16" t="str">
        <f>"2026-10-31"</f>
        <v>2026-10-31</v>
      </c>
    </row>
    <row r="17" spans="1:16" x14ac:dyDescent="0.2">
      <c r="A17" t="str" cm="1">
        <f t="array" ref="A17">_xlfn.LET(
    _xlpm.txt, B17,
    _xlpm.chars, MID(_xlpm.txt, _xlfn.SEQUENCE(LEN(_xlpm.txt)), 1),
    _xlpm.filtered, _xlfn._xlws.FILTER(_xlpm.chars, NOT(ISNUMBER(SEARCH(_xlpm.chars, "ABCDEFGHIJKLMNOPQRSTUVWXYZabcdefghijklmnopqrstuvwxyz")))),
    _xlfn.TEXTJOIN("",, _xlpm.filtered)
)</f>
        <v>000116</v>
      </c>
      <c r="B17" s="3" t="s">
        <v>114</v>
      </c>
      <c r="C17" s="3" t="s">
        <v>115</v>
      </c>
      <c r="D17" s="4">
        <v>400</v>
      </c>
      <c r="E17" s="3" t="s">
        <v>116</v>
      </c>
      <c r="F17" s="3" t="s">
        <v>117</v>
      </c>
      <c r="G17" s="3" t="s">
        <v>118</v>
      </c>
      <c r="H17" s="3" t="s">
        <v>59</v>
      </c>
      <c r="I17" s="3" t="s">
        <v>20</v>
      </c>
      <c r="J17" s="3" t="s">
        <v>119</v>
      </c>
      <c r="K17" s="3" t="s">
        <v>37</v>
      </c>
      <c r="L17" s="3" t="s">
        <v>23</v>
      </c>
      <c r="M17" s="3" t="s">
        <v>33</v>
      </c>
      <c r="N17" s="3" t="s">
        <v>25</v>
      </c>
      <c r="O17" t="str">
        <f>"2025-03-01"</f>
        <v>2025-03-01</v>
      </c>
      <c r="P17" t="str">
        <f>"2026-02-28"</f>
        <v>2026-02-28</v>
      </c>
    </row>
    <row r="18" spans="1:16" x14ac:dyDescent="0.2">
      <c r="A18" t="str" cm="1">
        <f t="array" ref="A18">_xlfn.LET(
    _xlpm.txt, B18,
    _xlpm.chars, MID(_xlpm.txt, _xlfn.SEQUENCE(LEN(_xlpm.txt)), 1),
    _xlpm.filtered, _xlfn._xlws.FILTER(_xlpm.chars, NOT(ISNUMBER(SEARCH(_xlpm.chars, "ABCDEFGHIJKLMNOPQRSTUVWXYZabcdefghijklmnopqrstuvwxyz")))),
    _xlfn.TEXTJOIN("",, _xlpm.filtered)
)</f>
        <v>000117</v>
      </c>
      <c r="B18" s="3" t="s">
        <v>120</v>
      </c>
      <c r="C18" s="3" t="s">
        <v>121</v>
      </c>
      <c r="D18" s="4">
        <v>390</v>
      </c>
      <c r="E18" s="3" t="s">
        <v>122</v>
      </c>
      <c r="F18" s="3" t="s">
        <v>123</v>
      </c>
      <c r="G18" s="3" t="s">
        <v>124</v>
      </c>
      <c r="H18" s="3" t="s">
        <v>125</v>
      </c>
      <c r="I18" s="3" t="s">
        <v>20</v>
      </c>
      <c r="J18" s="3" t="s">
        <v>36</v>
      </c>
      <c r="K18" s="3" t="s">
        <v>37</v>
      </c>
      <c r="L18" s="3" t="s">
        <v>38</v>
      </c>
      <c r="M18" s="3" t="s">
        <v>126</v>
      </c>
      <c r="N18" s="3" t="s">
        <v>25</v>
      </c>
      <c r="O18" t="str">
        <f>"2025-02-16"</f>
        <v>2025-02-16</v>
      </c>
      <c r="P18" t="str">
        <f>"2026-02-15"</f>
        <v>2026-02-15</v>
      </c>
    </row>
    <row r="19" spans="1:16" x14ac:dyDescent="0.2">
      <c r="A19" t="str" cm="1">
        <f t="array" ref="A19">_xlfn.LET(
    _xlpm.txt, B19,
    _xlpm.chars, MID(_xlpm.txt, _xlfn.SEQUENCE(LEN(_xlpm.txt)), 1),
    _xlpm.filtered, _xlfn._xlws.FILTER(_xlpm.chars, NOT(ISNUMBER(SEARCH(_xlpm.chars, "ABCDEFGHIJKLMNOPQRSTUVWXYZabcdefghijklmnopqrstuvwxyz")))),
    _xlfn.TEXTJOIN("",, _xlpm.filtered)
)</f>
        <v>000118</v>
      </c>
      <c r="B19" s="3" t="s">
        <v>127</v>
      </c>
      <c r="C19" s="3" t="s">
        <v>128</v>
      </c>
      <c r="D19" s="4">
        <v>1000</v>
      </c>
      <c r="E19" s="3" t="s">
        <v>129</v>
      </c>
      <c r="F19" s="3" t="s">
        <v>130</v>
      </c>
      <c r="G19" s="3" t="s">
        <v>131</v>
      </c>
      <c r="H19" s="3" t="s">
        <v>132</v>
      </c>
      <c r="I19" s="3" t="s">
        <v>20</v>
      </c>
      <c r="J19" s="3" t="s">
        <v>73</v>
      </c>
      <c r="K19" s="3" t="s">
        <v>37</v>
      </c>
      <c r="L19" s="3" t="s">
        <v>38</v>
      </c>
      <c r="M19" s="3" t="s">
        <v>62</v>
      </c>
      <c r="N19" s="3" t="s">
        <v>25</v>
      </c>
      <c r="O19" t="str">
        <f>"2024-11-01"</f>
        <v>2024-11-01</v>
      </c>
      <c r="P19" t="str">
        <f>"2025-10-31"</f>
        <v>2025-10-31</v>
      </c>
    </row>
    <row r="20" spans="1:16" x14ac:dyDescent="0.2">
      <c r="A20" t="str" cm="1">
        <f t="array" ref="A20">_xlfn.LET(
    _xlpm.txt, B20,
    _xlpm.chars, MID(_xlpm.txt, _xlfn.SEQUENCE(LEN(_xlpm.txt)), 1),
    _xlpm.filtered, _xlfn._xlws.FILTER(_xlpm.chars, NOT(ISNUMBER(SEARCH(_xlpm.chars, "ABCDEFGHIJKLMNOPQRSTUVWXYZabcdefghijklmnopqrstuvwxyz")))),
    _xlfn.TEXTJOIN("",, _xlpm.filtered)
)</f>
        <v>000119</v>
      </c>
      <c r="B20" s="3" t="s">
        <v>133</v>
      </c>
      <c r="C20" s="3" t="s">
        <v>134</v>
      </c>
      <c r="D20" s="4">
        <v>175</v>
      </c>
      <c r="E20" s="3" t="s">
        <v>135</v>
      </c>
      <c r="F20" s="3" t="s">
        <v>33</v>
      </c>
      <c r="G20" s="3" t="s">
        <v>136</v>
      </c>
      <c r="H20" s="3" t="s">
        <v>137</v>
      </c>
      <c r="I20" s="3" t="s">
        <v>20</v>
      </c>
      <c r="J20" s="3" t="s">
        <v>36</v>
      </c>
      <c r="K20" s="3" t="s">
        <v>33</v>
      </c>
      <c r="L20" s="3" t="s">
        <v>138</v>
      </c>
      <c r="M20" s="3" t="s">
        <v>33</v>
      </c>
      <c r="N20" s="3" t="s">
        <v>25</v>
      </c>
      <c r="O20" t="str">
        <f>"2024-12-01"</f>
        <v>2024-12-01</v>
      </c>
      <c r="P20" t="str">
        <f>"2025-11-30"</f>
        <v>2025-11-30</v>
      </c>
    </row>
    <row r="21" spans="1:16" x14ac:dyDescent="0.2">
      <c r="A21" t="str" cm="1">
        <f t="array" ref="A21">_xlfn.LET(
    _xlpm.txt, B21,
    _xlpm.chars, MID(_xlpm.txt, _xlfn.SEQUENCE(LEN(_xlpm.txt)), 1),
    _xlpm.filtered, _xlfn._xlws.FILTER(_xlpm.chars, NOT(ISNUMBER(SEARCH(_xlpm.chars, "ABCDEFGHIJKLMNOPQRSTUVWXYZabcdefghijklmnopqrstuvwxyz")))),
    _xlfn.TEXTJOIN("",, _xlpm.filtered)
)</f>
        <v>000122</v>
      </c>
      <c r="B21" s="3" t="s">
        <v>139</v>
      </c>
      <c r="C21" s="3" t="s">
        <v>140</v>
      </c>
      <c r="D21" s="4">
        <v>180</v>
      </c>
      <c r="E21" s="3" t="s">
        <v>141</v>
      </c>
      <c r="F21" s="3" t="s">
        <v>142</v>
      </c>
      <c r="G21" s="3" t="s">
        <v>143</v>
      </c>
      <c r="H21" s="3" t="s">
        <v>19</v>
      </c>
      <c r="I21" s="3" t="s">
        <v>20</v>
      </c>
      <c r="J21" s="3" t="s">
        <v>85</v>
      </c>
      <c r="K21" s="3" t="s">
        <v>37</v>
      </c>
      <c r="L21" s="3" t="s">
        <v>47</v>
      </c>
      <c r="M21" s="3" t="s">
        <v>144</v>
      </c>
      <c r="N21" s="3" t="s">
        <v>25</v>
      </c>
      <c r="O21" t="str">
        <f>"2025-05-10"</f>
        <v>2025-05-10</v>
      </c>
      <c r="P21" t="str">
        <f>"2026-05-09"</f>
        <v>2026-05-09</v>
      </c>
    </row>
    <row r="22" spans="1:16" x14ac:dyDescent="0.2">
      <c r="A22" t="str" cm="1">
        <f t="array" ref="A22">_xlfn.LET(
    _xlpm.txt, B22,
    _xlpm.chars, MID(_xlpm.txt, _xlfn.SEQUENCE(LEN(_xlpm.txt)), 1),
    _xlpm.filtered, _xlfn._xlws.FILTER(_xlpm.chars, NOT(ISNUMBER(SEARCH(_xlpm.chars, "ABCDEFGHIJKLMNOPQRSTUVWXYZabcdefghijklmnopqrstuvwxyz")))),
    _xlfn.TEXTJOIN("",, _xlpm.filtered)
)</f>
        <v>000124</v>
      </c>
      <c r="B22" s="3" t="s">
        <v>145</v>
      </c>
      <c r="C22" s="3" t="s">
        <v>146</v>
      </c>
      <c r="D22" s="4">
        <v>180</v>
      </c>
      <c r="E22" s="3" t="s">
        <v>147</v>
      </c>
      <c r="F22" s="3" t="s">
        <v>148</v>
      </c>
      <c r="G22" s="3" t="s">
        <v>149</v>
      </c>
      <c r="H22" s="3" t="s">
        <v>19</v>
      </c>
      <c r="I22" s="3" t="s">
        <v>20</v>
      </c>
      <c r="J22" s="3" t="s">
        <v>60</v>
      </c>
      <c r="K22" s="3" t="s">
        <v>61</v>
      </c>
      <c r="L22" s="3" t="s">
        <v>38</v>
      </c>
      <c r="M22" s="3" t="s">
        <v>62</v>
      </c>
      <c r="N22" s="3" t="s">
        <v>25</v>
      </c>
      <c r="O22" t="str">
        <f>"2025-01-01"</f>
        <v>2025-01-01</v>
      </c>
      <c r="P22" t="str">
        <f>"2025-12-31"</f>
        <v>2025-12-31</v>
      </c>
    </row>
    <row r="23" spans="1:16" x14ac:dyDescent="0.2">
      <c r="A23" t="str" cm="1">
        <f t="array" ref="A23">_xlfn.LET(
    _xlpm.txt, B23,
    _xlpm.chars, MID(_xlpm.txt, _xlfn.SEQUENCE(LEN(_xlpm.txt)), 1),
    _xlpm.filtered, _xlfn._xlws.FILTER(_xlpm.chars, NOT(ISNUMBER(SEARCH(_xlpm.chars, "ABCDEFGHIJKLMNOPQRSTUVWXYZabcdefghijklmnopqrstuvwxyz")))),
    _xlfn.TEXTJOIN("",, _xlpm.filtered)
)</f>
        <v>000128</v>
      </c>
      <c r="B23" s="3" t="s">
        <v>150</v>
      </c>
      <c r="C23" s="3" t="s">
        <v>151</v>
      </c>
      <c r="D23" s="4">
        <v>200</v>
      </c>
      <c r="E23" s="3" t="s">
        <v>152</v>
      </c>
      <c r="F23" s="3" t="s">
        <v>153</v>
      </c>
      <c r="G23" s="3" t="s">
        <v>154</v>
      </c>
      <c r="H23" s="3" t="s">
        <v>155</v>
      </c>
      <c r="I23" s="3" t="s">
        <v>20</v>
      </c>
      <c r="J23" s="3" t="s">
        <v>36</v>
      </c>
      <c r="K23" s="3" t="s">
        <v>46</v>
      </c>
      <c r="L23" s="3" t="s">
        <v>156</v>
      </c>
      <c r="M23" s="3" t="s">
        <v>33</v>
      </c>
      <c r="N23" s="3" t="s">
        <v>25</v>
      </c>
      <c r="O23" t="str">
        <f>"2024-12-11"</f>
        <v>2024-12-11</v>
      </c>
      <c r="P23" t="str">
        <f>"2025-12-10"</f>
        <v>2025-12-10</v>
      </c>
    </row>
    <row r="24" spans="1:16" x14ac:dyDescent="0.2">
      <c r="A24" t="str" cm="1">
        <f t="array" ref="A24">_xlfn.LET(
    _xlpm.txt, B24,
    _xlpm.chars, MID(_xlpm.txt, _xlfn.SEQUENCE(LEN(_xlpm.txt)), 1),
    _xlpm.filtered, _xlfn._xlws.FILTER(_xlpm.chars, NOT(ISNUMBER(SEARCH(_xlpm.chars, "ABCDEFGHIJKLMNOPQRSTUVWXYZabcdefghijklmnopqrstuvwxyz")))),
    _xlfn.TEXTJOIN("",, _xlpm.filtered)
)</f>
        <v>000132</v>
      </c>
      <c r="B24" s="3" t="s">
        <v>157</v>
      </c>
      <c r="C24" s="3" t="s">
        <v>158</v>
      </c>
      <c r="D24" s="4">
        <v>330</v>
      </c>
      <c r="E24" s="3" t="s">
        <v>159</v>
      </c>
      <c r="F24" s="3" t="s">
        <v>160</v>
      </c>
      <c r="G24" s="3" t="s">
        <v>161</v>
      </c>
      <c r="H24" s="3" t="s">
        <v>132</v>
      </c>
      <c r="I24" s="3" t="s">
        <v>20</v>
      </c>
      <c r="J24" s="3" t="s">
        <v>119</v>
      </c>
      <c r="K24" s="3" t="s">
        <v>162</v>
      </c>
      <c r="L24" s="3" t="s">
        <v>163</v>
      </c>
      <c r="M24" s="3" t="s">
        <v>164</v>
      </c>
      <c r="N24" s="3" t="s">
        <v>25</v>
      </c>
      <c r="O24" t="str">
        <f>"2025-06-01"</f>
        <v>2025-06-01</v>
      </c>
      <c r="P24" t="str">
        <f>"2026-05-31"</f>
        <v>2026-05-31</v>
      </c>
    </row>
    <row r="25" spans="1:16" x14ac:dyDescent="0.2">
      <c r="A25" t="str" cm="1">
        <f t="array" ref="A25">_xlfn.LET(
    _xlpm.txt, B25,
    _xlpm.chars, MID(_xlpm.txt, _xlfn.SEQUENCE(LEN(_xlpm.txt)), 1),
    _xlpm.filtered, _xlfn._xlws.FILTER(_xlpm.chars, NOT(ISNUMBER(SEARCH(_xlpm.chars, "ABCDEFGHIJKLMNOPQRSTUVWXYZabcdefghijklmnopqrstuvwxyz")))),
    _xlfn.TEXTJOIN("",, _xlpm.filtered)
)</f>
        <v>000133</v>
      </c>
      <c r="B25" s="3" t="s">
        <v>165</v>
      </c>
      <c r="C25" s="3" t="s">
        <v>166</v>
      </c>
      <c r="D25" s="4">
        <v>225</v>
      </c>
      <c r="E25" s="3" t="s">
        <v>167</v>
      </c>
      <c r="F25" s="3" t="s">
        <v>168</v>
      </c>
      <c r="G25" s="3" t="s">
        <v>169</v>
      </c>
      <c r="H25" s="3" t="s">
        <v>132</v>
      </c>
      <c r="I25" s="3" t="s">
        <v>20</v>
      </c>
      <c r="J25" s="3" t="s">
        <v>85</v>
      </c>
      <c r="K25" s="3" t="s">
        <v>37</v>
      </c>
      <c r="L25" s="3" t="s">
        <v>47</v>
      </c>
      <c r="M25" s="3" t="s">
        <v>48</v>
      </c>
      <c r="N25" s="3" t="s">
        <v>25</v>
      </c>
      <c r="O25" t="str">
        <f>"2025-04-01"</f>
        <v>2025-04-01</v>
      </c>
      <c r="P25" t="str">
        <f>"2026-03-31"</f>
        <v>2026-03-31</v>
      </c>
    </row>
    <row r="26" spans="1:16" x14ac:dyDescent="0.2">
      <c r="A26" t="str" cm="1">
        <f t="array" ref="A26">_xlfn.LET(
    _xlpm.txt, B26,
    _xlpm.chars, MID(_xlpm.txt, _xlfn.SEQUENCE(LEN(_xlpm.txt)), 1),
    _xlpm.filtered, _xlfn._xlws.FILTER(_xlpm.chars, NOT(ISNUMBER(SEARCH(_xlpm.chars, "ABCDEFGHIJKLMNOPQRSTUVWXYZabcdefghijklmnopqrstuvwxyz")))),
    _xlfn.TEXTJOIN("",, _xlpm.filtered)
)</f>
        <v>000134</v>
      </c>
      <c r="B26" s="3" t="s">
        <v>170</v>
      </c>
      <c r="C26" s="3" t="s">
        <v>171</v>
      </c>
      <c r="D26" s="4">
        <v>250</v>
      </c>
      <c r="E26" s="3" t="s">
        <v>172</v>
      </c>
      <c r="F26" s="3" t="s">
        <v>33</v>
      </c>
      <c r="G26" s="3" t="s">
        <v>173</v>
      </c>
      <c r="H26" s="3" t="s">
        <v>132</v>
      </c>
      <c r="I26" s="3" t="s">
        <v>20</v>
      </c>
      <c r="J26" s="3" t="s">
        <v>60</v>
      </c>
      <c r="K26" s="3" t="s">
        <v>22</v>
      </c>
      <c r="L26" s="3" t="s">
        <v>174</v>
      </c>
      <c r="M26" s="3" t="s">
        <v>175</v>
      </c>
      <c r="N26" s="3" t="s">
        <v>25</v>
      </c>
      <c r="O26" t="str">
        <f>"2024-11-01"</f>
        <v>2024-11-01</v>
      </c>
      <c r="P26" t="str">
        <f>"2025-10-31"</f>
        <v>2025-10-31</v>
      </c>
    </row>
    <row r="27" spans="1:16" x14ac:dyDescent="0.2">
      <c r="A27" t="str" cm="1">
        <f t="array" ref="A27">_xlfn.LET(
    _xlpm.txt, B27,
    _xlpm.chars, MID(_xlpm.txt, _xlfn.SEQUENCE(LEN(_xlpm.txt)), 1),
    _xlpm.filtered, _xlfn._xlws.FILTER(_xlpm.chars, NOT(ISNUMBER(SEARCH(_xlpm.chars, "ABCDEFGHIJKLMNOPQRSTUVWXYZabcdefghijklmnopqrstuvwxyz")))),
    _xlfn.TEXTJOIN("",, _xlpm.filtered)
)</f>
        <v>000135</v>
      </c>
      <c r="B27" s="3" t="s">
        <v>176</v>
      </c>
      <c r="C27" s="3" t="s">
        <v>171</v>
      </c>
      <c r="D27" s="4">
        <v>250</v>
      </c>
      <c r="E27" s="3" t="s">
        <v>172</v>
      </c>
      <c r="F27" s="3" t="s">
        <v>177</v>
      </c>
      <c r="G27" s="3" t="s">
        <v>178</v>
      </c>
      <c r="H27" s="3" t="s">
        <v>132</v>
      </c>
      <c r="I27" s="3" t="s">
        <v>20</v>
      </c>
      <c r="J27" s="3" t="s">
        <v>73</v>
      </c>
      <c r="K27" s="3" t="s">
        <v>37</v>
      </c>
      <c r="L27" s="3" t="s">
        <v>38</v>
      </c>
      <c r="M27" s="3" t="s">
        <v>62</v>
      </c>
      <c r="N27" s="3" t="s">
        <v>25</v>
      </c>
      <c r="O27" t="str">
        <f>"2024-11-01"</f>
        <v>2024-11-01</v>
      </c>
      <c r="P27" t="str">
        <f>"2025-10-31"</f>
        <v>2025-10-31</v>
      </c>
    </row>
    <row r="28" spans="1:16" x14ac:dyDescent="0.2">
      <c r="A28" t="str" cm="1">
        <f t="array" ref="A28">_xlfn.LET(
    _xlpm.txt, B28,
    _xlpm.chars, MID(_xlpm.txt, _xlfn.SEQUENCE(LEN(_xlpm.txt)), 1),
    _xlpm.filtered, _xlfn._xlws.FILTER(_xlpm.chars, NOT(ISNUMBER(SEARCH(_xlpm.chars, "ABCDEFGHIJKLMNOPQRSTUVWXYZabcdefghijklmnopqrstuvwxyz")))),
    _xlfn.TEXTJOIN("",, _xlpm.filtered)
)</f>
        <v>000138</v>
      </c>
      <c r="B28" s="3" t="s">
        <v>179</v>
      </c>
      <c r="C28" s="3" t="s">
        <v>180</v>
      </c>
      <c r="D28" s="4">
        <v>200</v>
      </c>
      <c r="E28" s="3" t="s">
        <v>181</v>
      </c>
      <c r="F28" s="3" t="s">
        <v>182</v>
      </c>
      <c r="G28" s="3" t="s">
        <v>183</v>
      </c>
      <c r="H28" s="3" t="s">
        <v>184</v>
      </c>
      <c r="I28" s="3" t="s">
        <v>20</v>
      </c>
      <c r="J28" s="3" t="s">
        <v>85</v>
      </c>
      <c r="K28" s="3" t="s">
        <v>37</v>
      </c>
      <c r="L28" s="3" t="s">
        <v>38</v>
      </c>
      <c r="M28" s="3" t="s">
        <v>185</v>
      </c>
      <c r="N28" s="3" t="s">
        <v>25</v>
      </c>
      <c r="O28" t="str">
        <f>"2025-05-11"</f>
        <v>2025-05-11</v>
      </c>
      <c r="P28" t="str">
        <f>"2026-05-10"</f>
        <v>2026-05-10</v>
      </c>
    </row>
    <row r="29" spans="1:16" x14ac:dyDescent="0.2">
      <c r="A29" t="str" cm="1">
        <f t="array" ref="A29">_xlfn.LET(
    _xlpm.txt, B29,
    _xlpm.chars, MID(_xlpm.txt, _xlfn.SEQUENCE(LEN(_xlpm.txt)), 1),
    _xlpm.filtered, _xlfn._xlws.FILTER(_xlpm.chars, NOT(ISNUMBER(SEARCH(_xlpm.chars, "ABCDEFGHIJKLMNOPQRSTUVWXYZabcdefghijklmnopqrstuvwxyz")))),
    _xlfn.TEXTJOIN("",, _xlpm.filtered)
)</f>
        <v>000139</v>
      </c>
      <c r="B29" s="3" t="s">
        <v>186</v>
      </c>
      <c r="C29" s="3" t="s">
        <v>187</v>
      </c>
      <c r="D29" s="4">
        <v>680</v>
      </c>
      <c r="E29" s="3" t="s">
        <v>188</v>
      </c>
      <c r="F29" s="3" t="s">
        <v>189</v>
      </c>
      <c r="G29" s="3" t="s">
        <v>190</v>
      </c>
      <c r="H29" s="3" t="s">
        <v>132</v>
      </c>
      <c r="I29" s="3" t="s">
        <v>20</v>
      </c>
      <c r="J29" s="3" t="s">
        <v>119</v>
      </c>
      <c r="K29" s="3" t="s">
        <v>22</v>
      </c>
      <c r="L29" s="3" t="s">
        <v>38</v>
      </c>
      <c r="M29" s="3" t="s">
        <v>24</v>
      </c>
      <c r="N29" s="3" t="s">
        <v>25</v>
      </c>
      <c r="O29" t="str">
        <f>"2025-01-01"</f>
        <v>2025-01-01</v>
      </c>
      <c r="P29" t="str">
        <f>"2026-12-31"</f>
        <v>2026-12-31</v>
      </c>
    </row>
    <row r="30" spans="1:16" x14ac:dyDescent="0.2">
      <c r="A30" t="str" cm="1">
        <f t="array" ref="A30">_xlfn.LET(
    _xlpm.txt, B30,
    _xlpm.chars, MID(_xlpm.txt, _xlfn.SEQUENCE(LEN(_xlpm.txt)), 1),
    _xlpm.filtered, _xlfn._xlws.FILTER(_xlpm.chars, NOT(ISNUMBER(SEARCH(_xlpm.chars, "ABCDEFGHIJKLMNOPQRSTUVWXYZabcdefghijklmnopqrstuvwxyz")))),
    _xlfn.TEXTJOIN("",, _xlpm.filtered)
)</f>
        <v>000140</v>
      </c>
      <c r="B30" s="3" t="s">
        <v>191</v>
      </c>
      <c r="C30" s="3" t="s">
        <v>192</v>
      </c>
      <c r="D30" s="4">
        <v>150</v>
      </c>
      <c r="E30" s="3" t="s">
        <v>193</v>
      </c>
      <c r="F30" s="3" t="s">
        <v>33</v>
      </c>
      <c r="G30" s="3" t="s">
        <v>194</v>
      </c>
      <c r="H30" s="3" t="s">
        <v>195</v>
      </c>
      <c r="I30" s="3" t="s">
        <v>20</v>
      </c>
      <c r="J30" s="3" t="s">
        <v>36</v>
      </c>
      <c r="K30" s="3" t="s">
        <v>196</v>
      </c>
      <c r="L30" s="3" t="s">
        <v>38</v>
      </c>
      <c r="M30" s="3" t="s">
        <v>24</v>
      </c>
      <c r="N30" s="3" t="s">
        <v>25</v>
      </c>
      <c r="O30" t="str">
        <f>"2024-12-01"</f>
        <v>2024-12-01</v>
      </c>
      <c r="P30" t="str">
        <f>"2025-11-30"</f>
        <v>2025-11-30</v>
      </c>
    </row>
    <row r="31" spans="1:16" x14ac:dyDescent="0.2">
      <c r="A31" t="str" cm="1">
        <f t="array" ref="A31">_xlfn.LET(
    _xlpm.txt, B31,
    _xlpm.chars, MID(_xlpm.txt, _xlfn.SEQUENCE(LEN(_xlpm.txt)), 1),
    _xlpm.filtered, _xlfn._xlws.FILTER(_xlpm.chars, NOT(ISNUMBER(SEARCH(_xlpm.chars, "ABCDEFGHIJKLMNOPQRSTUVWXYZabcdefghijklmnopqrstuvwxyz")))),
    _xlfn.TEXTJOIN("",, _xlpm.filtered)
)</f>
        <v>000141</v>
      </c>
      <c r="B31" s="3" t="s">
        <v>197</v>
      </c>
      <c r="C31" s="3" t="s">
        <v>198</v>
      </c>
      <c r="D31" s="4">
        <v>150</v>
      </c>
      <c r="E31" s="3" t="s">
        <v>199</v>
      </c>
      <c r="F31" s="3" t="s">
        <v>200</v>
      </c>
      <c r="G31" s="3" t="s">
        <v>201</v>
      </c>
      <c r="H31" s="3" t="s">
        <v>202</v>
      </c>
      <c r="I31" s="3" t="s">
        <v>20</v>
      </c>
      <c r="J31" s="3" t="s">
        <v>36</v>
      </c>
      <c r="K31" s="3" t="s">
        <v>37</v>
      </c>
      <c r="L31" s="3" t="s">
        <v>38</v>
      </c>
      <c r="M31" s="3" t="s">
        <v>48</v>
      </c>
      <c r="N31" s="3" t="s">
        <v>25</v>
      </c>
      <c r="O31" t="str">
        <f>"2024-07-15"</f>
        <v>2024-07-15</v>
      </c>
      <c r="P31" t="str">
        <f>"2025-07-14"</f>
        <v>2025-07-14</v>
      </c>
    </row>
    <row r="32" spans="1:16" x14ac:dyDescent="0.2">
      <c r="A32" t="str" cm="1">
        <f t="array" ref="A32">_xlfn.LET(
    _xlpm.txt, B32,
    _xlpm.chars, MID(_xlpm.txt, _xlfn.SEQUENCE(LEN(_xlpm.txt)), 1),
    _xlpm.filtered, _xlfn._xlws.FILTER(_xlpm.chars, NOT(ISNUMBER(SEARCH(_xlpm.chars, "ABCDEFGHIJKLMNOPQRSTUVWXYZabcdefghijklmnopqrstuvwxyz")))),
    _xlfn.TEXTJOIN("",, _xlpm.filtered)
)</f>
        <v>000142</v>
      </c>
      <c r="B32" s="3" t="s">
        <v>203</v>
      </c>
      <c r="C32" s="3" t="s">
        <v>204</v>
      </c>
      <c r="D32" s="4">
        <v>180</v>
      </c>
      <c r="E32" s="3" t="s">
        <v>205</v>
      </c>
      <c r="F32" s="3" t="s">
        <v>206</v>
      </c>
      <c r="G32" s="3" t="s">
        <v>207</v>
      </c>
      <c r="H32" s="3" t="s">
        <v>19</v>
      </c>
      <c r="I32" s="3" t="s">
        <v>20</v>
      </c>
      <c r="J32" s="3" t="s">
        <v>73</v>
      </c>
      <c r="K32" s="3" t="s">
        <v>37</v>
      </c>
      <c r="L32" s="3" t="s">
        <v>174</v>
      </c>
      <c r="M32" s="3" t="s">
        <v>87</v>
      </c>
      <c r="N32" s="3" t="s">
        <v>25</v>
      </c>
      <c r="O32" t="str">
        <f>"2025-03-01"</f>
        <v>2025-03-01</v>
      </c>
      <c r="P32" t="str">
        <f>"2026-02-28"</f>
        <v>2026-02-28</v>
      </c>
    </row>
    <row r="33" spans="1:16" x14ac:dyDescent="0.2">
      <c r="A33" t="str" cm="1">
        <f t="array" ref="A33">_xlfn.LET(
    _xlpm.txt, B33,
    _xlpm.chars, MID(_xlpm.txt, _xlfn.SEQUENCE(LEN(_xlpm.txt)), 1),
    _xlpm.filtered, _xlfn._xlws.FILTER(_xlpm.chars, NOT(ISNUMBER(SEARCH(_xlpm.chars, "ABCDEFGHIJKLMNOPQRSTUVWXYZabcdefghijklmnopqrstuvwxyz")))),
    _xlfn.TEXTJOIN("",, _xlpm.filtered)
)</f>
        <v>000143</v>
      </c>
      <c r="B33" s="3" t="s">
        <v>208</v>
      </c>
      <c r="C33" s="3" t="s">
        <v>209</v>
      </c>
      <c r="D33" s="4">
        <v>400</v>
      </c>
      <c r="E33" s="3" t="s">
        <v>210</v>
      </c>
      <c r="F33" s="3" t="s">
        <v>211</v>
      </c>
      <c r="G33" s="3" t="s">
        <v>212</v>
      </c>
      <c r="H33" s="3" t="s">
        <v>213</v>
      </c>
      <c r="I33" s="3" t="s">
        <v>20</v>
      </c>
      <c r="J33" s="3" t="s">
        <v>214</v>
      </c>
      <c r="K33" s="3" t="s">
        <v>215</v>
      </c>
      <c r="L33" s="3" t="s">
        <v>23</v>
      </c>
      <c r="M33" s="3" t="s">
        <v>62</v>
      </c>
      <c r="N33" s="3" t="s">
        <v>25</v>
      </c>
      <c r="O33" t="str">
        <f>"2025-04-01"</f>
        <v>2025-04-01</v>
      </c>
      <c r="P33" t="str">
        <f>"2026-03-31"</f>
        <v>2026-03-31</v>
      </c>
    </row>
    <row r="34" spans="1:16" x14ac:dyDescent="0.2">
      <c r="A34" t="str" cm="1">
        <f t="array" ref="A34">_xlfn.LET(
    _xlpm.txt, B34,
    _xlpm.chars, MID(_xlpm.txt, _xlfn.SEQUENCE(LEN(_xlpm.txt)), 1),
    _xlpm.filtered, _xlfn._xlws.FILTER(_xlpm.chars, NOT(ISNUMBER(SEARCH(_xlpm.chars, "ABCDEFGHIJKLMNOPQRSTUVWXYZabcdefghijklmnopqrstuvwxyz")))),
    _xlfn.TEXTJOIN("",, _xlpm.filtered)
)</f>
        <v>000144</v>
      </c>
      <c r="B34" s="3" t="s">
        <v>216</v>
      </c>
      <c r="C34" s="3" t="s">
        <v>217</v>
      </c>
      <c r="D34" s="4">
        <v>400</v>
      </c>
      <c r="E34" s="3" t="s">
        <v>110</v>
      </c>
      <c r="F34" s="3" t="s">
        <v>218</v>
      </c>
      <c r="G34" s="3" t="s">
        <v>219</v>
      </c>
      <c r="H34" s="3" t="s">
        <v>59</v>
      </c>
      <c r="I34" s="3" t="s">
        <v>20</v>
      </c>
      <c r="J34" s="3" t="s">
        <v>119</v>
      </c>
      <c r="K34" s="3" t="s">
        <v>22</v>
      </c>
      <c r="L34" s="3" t="s">
        <v>23</v>
      </c>
      <c r="M34" s="3" t="s">
        <v>24</v>
      </c>
      <c r="N34" s="3" t="s">
        <v>25</v>
      </c>
      <c r="O34" t="str">
        <f>"2025-07-01"</f>
        <v>2025-07-01</v>
      </c>
      <c r="P34" t="str">
        <f>"2026-06-30"</f>
        <v>2026-06-30</v>
      </c>
    </row>
    <row r="35" spans="1:16" x14ac:dyDescent="0.2">
      <c r="A35" t="str" cm="1">
        <f t="array" ref="A35">_xlfn.LET(
    _xlpm.txt, B35,
    _xlpm.chars, MID(_xlpm.txt, _xlfn.SEQUENCE(LEN(_xlpm.txt)), 1),
    _xlpm.filtered, _xlfn._xlws.FILTER(_xlpm.chars, NOT(ISNUMBER(SEARCH(_xlpm.chars, "ABCDEFGHIJKLMNOPQRSTUVWXYZabcdefghijklmnopqrstuvwxyz")))),
    _xlfn.TEXTJOIN("",, _xlpm.filtered)
)</f>
        <v>000145</v>
      </c>
      <c r="B35" s="3" t="s">
        <v>220</v>
      </c>
      <c r="C35" s="3" t="s">
        <v>221</v>
      </c>
      <c r="D35" s="4">
        <v>360</v>
      </c>
      <c r="E35" s="3" t="s">
        <v>222</v>
      </c>
      <c r="F35" s="3" t="s">
        <v>223</v>
      </c>
      <c r="G35" s="3" t="s">
        <v>224</v>
      </c>
      <c r="H35" s="3" t="s">
        <v>59</v>
      </c>
      <c r="I35" s="3" t="s">
        <v>20</v>
      </c>
      <c r="J35" s="3" t="s">
        <v>60</v>
      </c>
      <c r="K35" s="3" t="s">
        <v>22</v>
      </c>
      <c r="L35" s="3" t="s">
        <v>38</v>
      </c>
      <c r="M35" s="3" t="s">
        <v>87</v>
      </c>
      <c r="N35" s="3" t="s">
        <v>25</v>
      </c>
      <c r="O35" t="str">
        <f>"2025-01-01"</f>
        <v>2025-01-01</v>
      </c>
      <c r="P35" t="str">
        <f>"2025-12-31"</f>
        <v>2025-12-31</v>
      </c>
    </row>
    <row r="36" spans="1:16" x14ac:dyDescent="0.2">
      <c r="A36" t="str" cm="1">
        <f t="array" ref="A36">_xlfn.LET(
    _xlpm.txt, B36,
    _xlpm.chars, MID(_xlpm.txt, _xlfn.SEQUENCE(LEN(_xlpm.txt)), 1),
    _xlpm.filtered, _xlfn._xlws.FILTER(_xlpm.chars, NOT(ISNUMBER(SEARCH(_xlpm.chars, "ABCDEFGHIJKLMNOPQRSTUVWXYZabcdefghijklmnopqrstuvwxyz")))),
    _xlfn.TEXTJOIN("",, _xlpm.filtered)
)</f>
        <v>000146</v>
      </c>
      <c r="B36" s="3" t="s">
        <v>225</v>
      </c>
      <c r="C36" s="3" t="s">
        <v>226</v>
      </c>
      <c r="D36" s="4">
        <v>400</v>
      </c>
      <c r="E36" s="3" t="s">
        <v>227</v>
      </c>
      <c r="F36" s="3" t="s">
        <v>33</v>
      </c>
      <c r="G36" s="3" t="s">
        <v>228</v>
      </c>
      <c r="H36" s="3" t="s">
        <v>59</v>
      </c>
      <c r="I36" s="3" t="s">
        <v>20</v>
      </c>
      <c r="J36" s="3" t="s">
        <v>229</v>
      </c>
      <c r="K36" s="3" t="s">
        <v>22</v>
      </c>
      <c r="L36" s="3" t="s">
        <v>174</v>
      </c>
      <c r="M36" s="3" t="s">
        <v>24</v>
      </c>
      <c r="N36" s="3" t="s">
        <v>25</v>
      </c>
      <c r="O36" t="str">
        <f>"2024-09-01"</f>
        <v>2024-09-01</v>
      </c>
      <c r="P36" t="str">
        <f>"2025-08-31"</f>
        <v>2025-08-31</v>
      </c>
    </row>
    <row r="37" spans="1:16" x14ac:dyDescent="0.2">
      <c r="A37" t="str" cm="1">
        <f t="array" ref="A37">_xlfn.LET(
    _xlpm.txt, B37,
    _xlpm.chars, MID(_xlpm.txt, _xlfn.SEQUENCE(LEN(_xlpm.txt)), 1),
    _xlpm.filtered, _xlfn._xlws.FILTER(_xlpm.chars, NOT(ISNUMBER(SEARCH(_xlpm.chars, "ABCDEFGHIJKLMNOPQRSTUVWXYZabcdefghijklmnopqrstuvwxyz")))),
    _xlfn.TEXTJOIN("",, _xlpm.filtered)
)</f>
        <v>000147</v>
      </c>
      <c r="B37" s="3" t="s">
        <v>230</v>
      </c>
      <c r="C37" s="3" t="s">
        <v>226</v>
      </c>
      <c r="D37" s="4">
        <v>400</v>
      </c>
      <c r="E37" s="3" t="s">
        <v>227</v>
      </c>
      <c r="F37" s="3" t="s">
        <v>231</v>
      </c>
      <c r="G37" s="3" t="s">
        <v>232</v>
      </c>
      <c r="H37" s="3" t="s">
        <v>184</v>
      </c>
      <c r="I37" s="3" t="s">
        <v>20</v>
      </c>
      <c r="J37" s="3" t="s">
        <v>229</v>
      </c>
      <c r="K37" s="3" t="s">
        <v>37</v>
      </c>
      <c r="L37" s="3" t="s">
        <v>174</v>
      </c>
      <c r="M37" s="3" t="s">
        <v>24</v>
      </c>
      <c r="N37" s="3" t="s">
        <v>25</v>
      </c>
      <c r="O37" t="str">
        <f>"2024-09-01"</f>
        <v>2024-09-01</v>
      </c>
      <c r="P37" t="str">
        <f>"2025-08-31"</f>
        <v>2025-08-31</v>
      </c>
    </row>
    <row r="38" spans="1:16" x14ac:dyDescent="0.2">
      <c r="A38" t="str" cm="1">
        <f t="array" ref="A38">_xlfn.LET(
    _xlpm.txt, B38,
    _xlpm.chars, MID(_xlpm.txt, _xlfn.SEQUENCE(LEN(_xlpm.txt)), 1),
    _xlpm.filtered, _xlfn._xlws.FILTER(_xlpm.chars, NOT(ISNUMBER(SEARCH(_xlpm.chars, "ABCDEFGHIJKLMNOPQRSTUVWXYZabcdefghijklmnopqrstuvwxyz")))),
    _xlfn.TEXTJOIN("",, _xlpm.filtered)
)</f>
        <v>000148</v>
      </c>
      <c r="B38" s="3" t="s">
        <v>233</v>
      </c>
      <c r="C38" s="3" t="s">
        <v>234</v>
      </c>
      <c r="D38" s="4">
        <v>340</v>
      </c>
      <c r="E38" s="3" t="s">
        <v>235</v>
      </c>
      <c r="F38" s="3" t="s">
        <v>236</v>
      </c>
      <c r="G38" s="3" t="s">
        <v>237</v>
      </c>
      <c r="H38" s="3" t="s">
        <v>59</v>
      </c>
      <c r="I38" s="3" t="s">
        <v>20</v>
      </c>
      <c r="J38" s="3" t="s">
        <v>214</v>
      </c>
      <c r="K38" s="3" t="s">
        <v>138</v>
      </c>
      <c r="L38" s="3" t="s">
        <v>138</v>
      </c>
      <c r="M38" s="3" t="s">
        <v>87</v>
      </c>
      <c r="N38" s="3" t="s">
        <v>25</v>
      </c>
      <c r="O38" t="str">
        <f>"2024-12-01"</f>
        <v>2024-12-01</v>
      </c>
      <c r="P38" t="str">
        <f>"2025-11-30"</f>
        <v>2025-11-30</v>
      </c>
    </row>
    <row r="39" spans="1:16" x14ac:dyDescent="0.2">
      <c r="A39" t="str" cm="1">
        <f t="array" ref="A39">_xlfn.LET(
    _xlpm.txt, B39,
    _xlpm.chars, MID(_xlpm.txt, _xlfn.SEQUENCE(LEN(_xlpm.txt)), 1),
    _xlpm.filtered, _xlfn._xlws.FILTER(_xlpm.chars, NOT(ISNUMBER(SEARCH(_xlpm.chars, "ABCDEFGHIJKLMNOPQRSTUVWXYZabcdefghijklmnopqrstuvwxyz")))),
    _xlfn.TEXTJOIN("",, _xlpm.filtered)
)</f>
        <v>000150</v>
      </c>
      <c r="B39" s="3" t="s">
        <v>238</v>
      </c>
      <c r="C39" s="3" t="s">
        <v>239</v>
      </c>
      <c r="D39" s="4">
        <v>200</v>
      </c>
      <c r="E39" s="3" t="s">
        <v>33</v>
      </c>
      <c r="F39" s="3" t="s">
        <v>33</v>
      </c>
      <c r="G39" s="3" t="s">
        <v>240</v>
      </c>
      <c r="H39" s="3" t="s">
        <v>184</v>
      </c>
      <c r="I39" s="3" t="s">
        <v>20</v>
      </c>
      <c r="J39" s="3" t="s">
        <v>73</v>
      </c>
      <c r="K39" s="3" t="s">
        <v>46</v>
      </c>
      <c r="L39" s="3" t="s">
        <v>241</v>
      </c>
      <c r="M39" s="3" t="s">
        <v>144</v>
      </c>
      <c r="N39" s="3" t="s">
        <v>25</v>
      </c>
      <c r="O39" t="str">
        <f>"2025-03-01"</f>
        <v>2025-03-01</v>
      </c>
      <c r="P39" t="str">
        <f>"2026-02-28"</f>
        <v>2026-02-28</v>
      </c>
    </row>
    <row r="40" spans="1:16" x14ac:dyDescent="0.2">
      <c r="A40" t="str" cm="1">
        <f t="array" ref="A40">_xlfn.LET(
    _xlpm.txt, B40,
    _xlpm.chars, MID(_xlpm.txt, _xlfn.SEQUENCE(LEN(_xlpm.txt)), 1),
    _xlpm.filtered, _xlfn._xlws.FILTER(_xlpm.chars, NOT(ISNUMBER(SEARCH(_xlpm.chars, "ABCDEFGHIJKLMNOPQRSTUVWXYZabcdefghijklmnopqrstuvwxyz")))),
    _xlfn.TEXTJOIN("",, _xlpm.filtered)
)</f>
        <v>000152</v>
      </c>
      <c r="B40" s="3" t="s">
        <v>242</v>
      </c>
      <c r="C40" s="3" t="s">
        <v>243</v>
      </c>
      <c r="D40" s="4">
        <v>200</v>
      </c>
      <c r="E40" s="3" t="s">
        <v>33</v>
      </c>
      <c r="F40" s="3" t="s">
        <v>33</v>
      </c>
      <c r="G40" s="3" t="s">
        <v>244</v>
      </c>
      <c r="H40" s="3" t="s">
        <v>184</v>
      </c>
      <c r="I40" s="3" t="s">
        <v>20</v>
      </c>
      <c r="J40" s="3" t="s">
        <v>85</v>
      </c>
      <c r="K40" s="3" t="s">
        <v>37</v>
      </c>
      <c r="L40" s="3" t="s">
        <v>23</v>
      </c>
      <c r="M40" s="3" t="s">
        <v>48</v>
      </c>
      <c r="N40" s="3" t="s">
        <v>25</v>
      </c>
      <c r="O40" t="str">
        <f>"2025-03-01"</f>
        <v>2025-03-01</v>
      </c>
      <c r="P40" t="str">
        <f>"2026-02-28"</f>
        <v>2026-02-28</v>
      </c>
    </row>
    <row r="41" spans="1:16" x14ac:dyDescent="0.2">
      <c r="A41" t="str" cm="1">
        <f t="array" ref="A41">_xlfn.LET(
    _xlpm.txt, B41,
    _xlpm.chars, MID(_xlpm.txt, _xlfn.SEQUENCE(LEN(_xlpm.txt)), 1),
    _xlpm.filtered, _xlfn._xlws.FILTER(_xlpm.chars, NOT(ISNUMBER(SEARCH(_xlpm.chars, "ABCDEFGHIJKLMNOPQRSTUVWXYZabcdefghijklmnopqrstuvwxyz")))),
    _xlfn.TEXTJOIN("",, _xlpm.filtered)
)</f>
        <v>000153</v>
      </c>
      <c r="B41" s="3" t="s">
        <v>245</v>
      </c>
      <c r="C41" s="3" t="s">
        <v>246</v>
      </c>
      <c r="D41" s="4">
        <v>600</v>
      </c>
      <c r="E41" s="3" t="s">
        <v>247</v>
      </c>
      <c r="F41" s="3" t="s">
        <v>248</v>
      </c>
      <c r="G41" s="3" t="s">
        <v>249</v>
      </c>
      <c r="H41" s="3" t="s">
        <v>250</v>
      </c>
      <c r="I41" s="3" t="s">
        <v>20</v>
      </c>
      <c r="J41" s="3" t="s">
        <v>36</v>
      </c>
      <c r="K41" s="3" t="s">
        <v>37</v>
      </c>
      <c r="L41" s="3" t="s">
        <v>38</v>
      </c>
      <c r="M41" s="3" t="s">
        <v>48</v>
      </c>
      <c r="N41" s="3" t="s">
        <v>25</v>
      </c>
      <c r="O41" t="str">
        <f>"2025-04-01"</f>
        <v>2025-04-01</v>
      </c>
      <c r="P41" t="str">
        <f>"2026-03-31"</f>
        <v>2026-03-31</v>
      </c>
    </row>
    <row r="42" spans="1:16" x14ac:dyDescent="0.2">
      <c r="A42" t="str" cm="1">
        <f t="array" ref="A42">_xlfn.LET(
    _xlpm.txt, B42,
    _xlpm.chars, MID(_xlpm.txt, _xlfn.SEQUENCE(LEN(_xlpm.txt)), 1),
    _xlpm.filtered, _xlfn._xlws.FILTER(_xlpm.chars, NOT(ISNUMBER(SEARCH(_xlpm.chars, "ABCDEFGHIJKLMNOPQRSTUVWXYZabcdefghijklmnopqrstuvwxyz")))),
    _xlfn.TEXTJOIN("",, _xlpm.filtered)
)</f>
        <v>000154</v>
      </c>
      <c r="B42" s="3" t="s">
        <v>251</v>
      </c>
      <c r="C42" s="3" t="s">
        <v>252</v>
      </c>
      <c r="D42" s="4">
        <v>600</v>
      </c>
      <c r="E42" s="3" t="s">
        <v>253</v>
      </c>
      <c r="F42" s="3" t="s">
        <v>254</v>
      </c>
      <c r="G42" s="3" t="s">
        <v>255</v>
      </c>
      <c r="H42" s="3" t="s">
        <v>184</v>
      </c>
      <c r="I42" s="3" t="s">
        <v>20</v>
      </c>
      <c r="J42" s="3" t="s">
        <v>229</v>
      </c>
      <c r="K42" s="3" t="s">
        <v>156</v>
      </c>
      <c r="L42" s="3" t="s">
        <v>156</v>
      </c>
      <c r="M42" s="3" t="s">
        <v>156</v>
      </c>
      <c r="N42" s="3" t="s">
        <v>25</v>
      </c>
      <c r="O42" t="str">
        <f>"2025-04-15"</f>
        <v>2025-04-15</v>
      </c>
      <c r="P42" t="str">
        <f>"2026-04-14"</f>
        <v>2026-04-14</v>
      </c>
    </row>
    <row r="43" spans="1:16" x14ac:dyDescent="0.2">
      <c r="A43" t="str" cm="1">
        <f t="array" ref="A43">_xlfn.LET(
    _xlpm.txt, B43,
    _xlpm.chars, MID(_xlpm.txt, _xlfn.SEQUENCE(LEN(_xlpm.txt)), 1),
    _xlpm.filtered, _xlfn._xlws.FILTER(_xlpm.chars, NOT(ISNUMBER(SEARCH(_xlpm.chars, "ABCDEFGHIJKLMNOPQRSTUVWXYZabcdefghijklmnopqrstuvwxyz")))),
    _xlfn.TEXTJOIN("",, _xlpm.filtered)
)</f>
        <v>000155</v>
      </c>
      <c r="B43" s="3" t="s">
        <v>256</v>
      </c>
      <c r="C43" s="3" t="s">
        <v>257</v>
      </c>
      <c r="D43" s="4">
        <v>150</v>
      </c>
      <c r="E43" s="3" t="s">
        <v>258</v>
      </c>
      <c r="F43" s="3" t="s">
        <v>33</v>
      </c>
      <c r="G43" s="3" t="s">
        <v>259</v>
      </c>
      <c r="H43" s="3" t="s">
        <v>105</v>
      </c>
      <c r="I43" s="3" t="s">
        <v>20</v>
      </c>
      <c r="J43" s="3" t="s">
        <v>36</v>
      </c>
      <c r="K43" s="3" t="s">
        <v>33</v>
      </c>
      <c r="L43" s="3" t="s">
        <v>174</v>
      </c>
      <c r="M43" s="3" t="s">
        <v>33</v>
      </c>
      <c r="N43" s="3" t="s">
        <v>25</v>
      </c>
      <c r="O43" t="str">
        <f>"2025-05-01"</f>
        <v>2025-05-01</v>
      </c>
      <c r="P43" t="str">
        <f>"2026-04-30"</f>
        <v>2026-04-30</v>
      </c>
    </row>
    <row r="44" spans="1:16" x14ac:dyDescent="0.2">
      <c r="A44" t="str" cm="1">
        <f t="array" ref="A44">_xlfn.LET(
    _xlpm.txt, B44,
    _xlpm.chars, MID(_xlpm.txt, _xlfn.SEQUENCE(LEN(_xlpm.txt)), 1),
    _xlpm.filtered, _xlfn._xlws.FILTER(_xlpm.chars, NOT(ISNUMBER(SEARCH(_xlpm.chars, "ABCDEFGHIJKLMNOPQRSTUVWXYZabcdefghijklmnopqrstuvwxyz")))),
    _xlfn.TEXTJOIN("",, _xlpm.filtered)
)</f>
        <v>000157</v>
      </c>
      <c r="B44" s="3" t="s">
        <v>260</v>
      </c>
      <c r="C44" s="3" t="s">
        <v>261</v>
      </c>
      <c r="D44" s="4">
        <v>150</v>
      </c>
      <c r="E44" s="3" t="s">
        <v>262</v>
      </c>
      <c r="F44" s="3" t="s">
        <v>33</v>
      </c>
      <c r="G44" s="3" t="s">
        <v>263</v>
      </c>
      <c r="H44" s="3" t="s">
        <v>264</v>
      </c>
      <c r="I44" s="3" t="s">
        <v>20</v>
      </c>
      <c r="J44" s="3" t="s">
        <v>36</v>
      </c>
      <c r="K44" s="3" t="s">
        <v>37</v>
      </c>
      <c r="L44" s="3" t="s">
        <v>86</v>
      </c>
      <c r="M44" s="3" t="s">
        <v>265</v>
      </c>
      <c r="N44" s="3" t="s">
        <v>25</v>
      </c>
      <c r="O44" t="str">
        <f>"2025-07-15"</f>
        <v>2025-07-15</v>
      </c>
      <c r="P44" t="str">
        <f>"2026-07-14"</f>
        <v>2026-07-14</v>
      </c>
    </row>
    <row r="45" spans="1:16" x14ac:dyDescent="0.2">
      <c r="A45" t="str" cm="1">
        <f t="array" ref="A45">_xlfn.LET(
    _xlpm.txt, B45,
    _xlpm.chars, MID(_xlpm.txt, _xlfn.SEQUENCE(LEN(_xlpm.txt)), 1),
    _xlpm.filtered, _xlfn._xlws.FILTER(_xlpm.chars, NOT(ISNUMBER(SEARCH(_xlpm.chars, "ABCDEFGHIJKLMNOPQRSTUVWXYZabcdefghijklmnopqrstuvwxyz")))),
    _xlfn.TEXTJOIN("",, _xlpm.filtered)
)</f>
        <v>000158</v>
      </c>
      <c r="B45" s="3" t="s">
        <v>266</v>
      </c>
      <c r="C45" s="3" t="s">
        <v>267</v>
      </c>
      <c r="D45" s="4">
        <v>150</v>
      </c>
      <c r="E45" s="3" t="s">
        <v>268</v>
      </c>
      <c r="F45" s="3" t="s">
        <v>33</v>
      </c>
      <c r="G45" s="3" t="s">
        <v>269</v>
      </c>
      <c r="H45" s="3" t="s">
        <v>270</v>
      </c>
      <c r="I45" s="3" t="s">
        <v>20</v>
      </c>
      <c r="J45" s="3" t="s">
        <v>36</v>
      </c>
      <c r="K45" s="3" t="s">
        <v>271</v>
      </c>
      <c r="L45" s="3" t="s">
        <v>272</v>
      </c>
      <c r="M45" s="3" t="s">
        <v>87</v>
      </c>
      <c r="N45" s="3" t="s">
        <v>273</v>
      </c>
      <c r="O45" t="str">
        <f>"2025-01-01"</f>
        <v>2025-01-01</v>
      </c>
      <c r="P45" t="str">
        <f>"2025-12-31"</f>
        <v>2025-12-31</v>
      </c>
    </row>
    <row r="46" spans="1:16" x14ac:dyDescent="0.2">
      <c r="A46" t="str" cm="1">
        <f t="array" ref="A46">_xlfn.LET(
    _xlpm.txt, B46,
    _xlpm.chars, MID(_xlpm.txt, _xlfn.SEQUENCE(LEN(_xlpm.txt)), 1),
    _xlpm.filtered, _xlfn._xlws.FILTER(_xlpm.chars, NOT(ISNUMBER(SEARCH(_xlpm.chars, "ABCDEFGHIJKLMNOPQRSTUVWXYZabcdefghijklmnopqrstuvwxyz")))),
    _xlfn.TEXTJOIN("",, _xlpm.filtered)
)</f>
        <v>000160</v>
      </c>
      <c r="B46" s="3" t="s">
        <v>274</v>
      </c>
      <c r="C46" s="3" t="s">
        <v>275</v>
      </c>
      <c r="D46" s="4">
        <v>210</v>
      </c>
      <c r="E46" s="3" t="s">
        <v>276</v>
      </c>
      <c r="F46" s="3" t="s">
        <v>277</v>
      </c>
      <c r="G46" s="3" t="s">
        <v>278</v>
      </c>
      <c r="H46" s="3" t="s">
        <v>279</v>
      </c>
      <c r="I46" s="3" t="s">
        <v>20</v>
      </c>
      <c r="J46" s="3" t="s">
        <v>214</v>
      </c>
      <c r="K46" s="3" t="s">
        <v>37</v>
      </c>
      <c r="L46" s="3" t="s">
        <v>38</v>
      </c>
      <c r="M46" s="3" t="s">
        <v>24</v>
      </c>
      <c r="N46" s="3" t="s">
        <v>25</v>
      </c>
      <c r="O46" t="str">
        <f>"2025-01-15"</f>
        <v>2025-01-15</v>
      </c>
      <c r="P46" t="str">
        <f>"2026-01-14"</f>
        <v>2026-01-14</v>
      </c>
    </row>
    <row r="47" spans="1:16" x14ac:dyDescent="0.2">
      <c r="A47" t="str" cm="1">
        <f t="array" ref="A47">_xlfn.LET(
    _xlpm.txt, B47,
    _xlpm.chars, MID(_xlpm.txt, _xlfn.SEQUENCE(LEN(_xlpm.txt)), 1),
    _xlpm.filtered, _xlfn._xlws.FILTER(_xlpm.chars, NOT(ISNUMBER(SEARCH(_xlpm.chars, "ABCDEFGHIJKLMNOPQRSTUVWXYZabcdefghijklmnopqrstuvwxyz")))),
    _xlfn.TEXTJOIN("",, _xlpm.filtered)
)</f>
        <v>000161</v>
      </c>
      <c r="B47" s="3" t="s">
        <v>280</v>
      </c>
      <c r="C47" s="3" t="s">
        <v>281</v>
      </c>
      <c r="D47" s="4">
        <v>360</v>
      </c>
      <c r="E47" s="3" t="s">
        <v>282</v>
      </c>
      <c r="F47" s="3" t="s">
        <v>283</v>
      </c>
      <c r="G47" s="3" t="s">
        <v>284</v>
      </c>
      <c r="H47" s="3" t="s">
        <v>279</v>
      </c>
      <c r="I47" s="3" t="s">
        <v>20</v>
      </c>
      <c r="J47" s="3" t="s">
        <v>73</v>
      </c>
      <c r="K47" s="3" t="s">
        <v>37</v>
      </c>
      <c r="L47" s="3" t="s">
        <v>38</v>
      </c>
      <c r="M47" s="3" t="s">
        <v>48</v>
      </c>
      <c r="N47" s="3" t="s">
        <v>25</v>
      </c>
      <c r="O47" t="str">
        <f>"2025-01-01"</f>
        <v>2025-01-01</v>
      </c>
      <c r="P47" t="str">
        <f>"2025-12-31"</f>
        <v>2025-12-31</v>
      </c>
    </row>
    <row r="48" spans="1:16" x14ac:dyDescent="0.2">
      <c r="A48" t="str" cm="1">
        <f t="array" ref="A48">_xlfn.LET(
    _xlpm.txt, B48,
    _xlpm.chars, MID(_xlpm.txt, _xlfn.SEQUENCE(LEN(_xlpm.txt)), 1),
    _xlpm.filtered, _xlfn._xlws.FILTER(_xlpm.chars, NOT(ISNUMBER(SEARCH(_xlpm.chars, "ABCDEFGHIJKLMNOPQRSTUVWXYZabcdefghijklmnopqrstuvwxyz")))),
    _xlfn.TEXTJOIN("",, _xlpm.filtered)
)</f>
        <v>000162</v>
      </c>
      <c r="B48" s="3" t="s">
        <v>285</v>
      </c>
      <c r="C48" s="3" t="s">
        <v>286</v>
      </c>
      <c r="D48" s="4">
        <v>400</v>
      </c>
      <c r="E48" s="3" t="s">
        <v>287</v>
      </c>
      <c r="F48" s="3" t="s">
        <v>288</v>
      </c>
      <c r="G48" s="3" t="s">
        <v>289</v>
      </c>
      <c r="H48" s="3" t="s">
        <v>84</v>
      </c>
      <c r="I48" s="3" t="s">
        <v>20</v>
      </c>
      <c r="J48" s="3" t="s">
        <v>21</v>
      </c>
      <c r="K48" s="3" t="s">
        <v>37</v>
      </c>
      <c r="L48" s="3" t="s">
        <v>290</v>
      </c>
      <c r="M48" s="3" t="s">
        <v>87</v>
      </c>
      <c r="N48" s="3" t="s">
        <v>25</v>
      </c>
      <c r="O48" t="str">
        <f>"2025-04-15"</f>
        <v>2025-04-15</v>
      </c>
      <c r="P48" t="str">
        <f>"2026-04-14"</f>
        <v>2026-04-14</v>
      </c>
    </row>
    <row r="49" spans="1:16" x14ac:dyDescent="0.2">
      <c r="A49" t="str" cm="1">
        <f t="array" ref="A49">_xlfn.LET(
    _xlpm.txt, B49,
    _xlpm.chars, MID(_xlpm.txt, _xlfn.SEQUENCE(LEN(_xlpm.txt)), 1),
    _xlpm.filtered, _xlfn._xlws.FILTER(_xlpm.chars, NOT(ISNUMBER(SEARCH(_xlpm.chars, "ABCDEFGHIJKLMNOPQRSTUVWXYZabcdefghijklmnopqrstuvwxyz")))),
    _xlfn.TEXTJOIN("",, _xlpm.filtered)
)</f>
        <v>000164</v>
      </c>
      <c r="B49" s="3" t="s">
        <v>291</v>
      </c>
      <c r="C49" s="3" t="s">
        <v>121</v>
      </c>
      <c r="D49" s="4">
        <v>150</v>
      </c>
      <c r="E49" s="3" t="s">
        <v>122</v>
      </c>
      <c r="F49" s="3" t="s">
        <v>292</v>
      </c>
      <c r="G49" s="3" t="s">
        <v>293</v>
      </c>
      <c r="H49" s="3" t="s">
        <v>294</v>
      </c>
      <c r="I49" s="3" t="s">
        <v>20</v>
      </c>
      <c r="J49" s="3" t="s">
        <v>36</v>
      </c>
      <c r="K49" s="3" t="s">
        <v>295</v>
      </c>
      <c r="L49" s="3" t="s">
        <v>296</v>
      </c>
      <c r="M49" s="3" t="s">
        <v>297</v>
      </c>
      <c r="N49" s="3" t="s">
        <v>25</v>
      </c>
      <c r="O49" t="str">
        <f>"2025-03-05"</f>
        <v>2025-03-05</v>
      </c>
      <c r="P49" t="str">
        <f>"2026-03-04"</f>
        <v>2026-03-04</v>
      </c>
    </row>
    <row r="50" spans="1:16" x14ac:dyDescent="0.2">
      <c r="A50" t="str" cm="1">
        <f t="array" ref="A50">_xlfn.LET(
    _xlpm.txt, B50,
    _xlpm.chars, MID(_xlpm.txt, _xlfn.SEQUENCE(LEN(_xlpm.txt)), 1),
    _xlpm.filtered, _xlfn._xlws.FILTER(_xlpm.chars, NOT(ISNUMBER(SEARCH(_xlpm.chars, "ABCDEFGHIJKLMNOPQRSTUVWXYZabcdefghijklmnopqrstuvwxyz")))),
    _xlfn.TEXTJOIN("",, _xlpm.filtered)
)</f>
        <v>000165</v>
      </c>
      <c r="B50" s="3" t="s">
        <v>298</v>
      </c>
      <c r="C50" s="3" t="s">
        <v>299</v>
      </c>
      <c r="D50" s="4">
        <v>360</v>
      </c>
      <c r="E50" s="3" t="s">
        <v>300</v>
      </c>
      <c r="F50" s="3" t="s">
        <v>33</v>
      </c>
      <c r="G50" s="3" t="s">
        <v>301</v>
      </c>
      <c r="H50" s="3" t="s">
        <v>302</v>
      </c>
      <c r="I50" s="3" t="s">
        <v>33</v>
      </c>
      <c r="J50" s="3" t="s">
        <v>214</v>
      </c>
      <c r="K50" s="3" t="s">
        <v>33</v>
      </c>
      <c r="L50" s="3" t="s">
        <v>23</v>
      </c>
      <c r="M50" s="3" t="s">
        <v>33</v>
      </c>
      <c r="N50" s="3" t="s">
        <v>25</v>
      </c>
      <c r="O50" t="str">
        <f>"2025-08-01"</f>
        <v>2025-08-01</v>
      </c>
      <c r="P50" t="str">
        <f>"2026-07-31"</f>
        <v>2026-07-31</v>
      </c>
    </row>
    <row r="51" spans="1:16" x14ac:dyDescent="0.2">
      <c r="A51" t="str" cm="1">
        <f t="array" ref="A51">_xlfn.LET(
    _xlpm.txt, B51,
    _xlpm.chars, MID(_xlpm.txt, _xlfn.SEQUENCE(LEN(_xlpm.txt)), 1),
    _xlpm.filtered, _xlfn._xlws.FILTER(_xlpm.chars, NOT(ISNUMBER(SEARCH(_xlpm.chars, "ABCDEFGHIJKLMNOPQRSTUVWXYZabcdefghijklmnopqrstuvwxyz")))),
    _xlfn.TEXTJOIN("",, _xlpm.filtered)
)</f>
        <v>000167</v>
      </c>
      <c r="B51" s="3" t="s">
        <v>303</v>
      </c>
      <c r="C51" s="3" t="s">
        <v>304</v>
      </c>
      <c r="D51" s="4">
        <v>150</v>
      </c>
      <c r="E51" s="3" t="s">
        <v>305</v>
      </c>
      <c r="F51" s="3" t="s">
        <v>306</v>
      </c>
      <c r="G51" s="3" t="s">
        <v>307</v>
      </c>
      <c r="H51" s="3" t="s">
        <v>308</v>
      </c>
      <c r="I51" s="3" t="s">
        <v>20</v>
      </c>
      <c r="J51" s="3" t="s">
        <v>67</v>
      </c>
      <c r="K51" s="3" t="s">
        <v>295</v>
      </c>
      <c r="L51" s="3" t="s">
        <v>296</v>
      </c>
      <c r="M51" s="3" t="s">
        <v>297</v>
      </c>
      <c r="N51" s="3" t="s">
        <v>25</v>
      </c>
      <c r="O51" t="str">
        <f>"2024-06-01"</f>
        <v>2024-06-01</v>
      </c>
      <c r="P51" t="str">
        <f>"2025-05-31"</f>
        <v>2025-05-31</v>
      </c>
    </row>
    <row r="52" spans="1:16" x14ac:dyDescent="0.2">
      <c r="A52" t="str" cm="1">
        <f t="array" ref="A52">_xlfn.LET(
    _xlpm.txt, B52,
    _xlpm.chars, MID(_xlpm.txt, _xlfn.SEQUENCE(LEN(_xlpm.txt)), 1),
    _xlpm.filtered, _xlfn._xlws.FILTER(_xlpm.chars, NOT(ISNUMBER(SEARCH(_xlpm.chars, "ABCDEFGHIJKLMNOPQRSTUVWXYZabcdefghijklmnopqrstuvwxyz")))),
    _xlfn.TEXTJOIN("",, _xlpm.filtered)
)</f>
        <v>000168</v>
      </c>
      <c r="B52" s="3" t="s">
        <v>309</v>
      </c>
      <c r="C52" s="3" t="s">
        <v>310</v>
      </c>
      <c r="D52" s="4">
        <v>150</v>
      </c>
      <c r="E52" s="3" t="s">
        <v>311</v>
      </c>
      <c r="F52" s="3" t="s">
        <v>33</v>
      </c>
      <c r="G52" s="3" t="s">
        <v>312</v>
      </c>
      <c r="H52" s="3" t="s">
        <v>308</v>
      </c>
      <c r="I52" s="3" t="s">
        <v>20</v>
      </c>
      <c r="J52" s="3" t="s">
        <v>67</v>
      </c>
      <c r="K52" s="3" t="s">
        <v>46</v>
      </c>
      <c r="L52" s="3" t="s">
        <v>38</v>
      </c>
      <c r="M52" s="3" t="s">
        <v>48</v>
      </c>
      <c r="N52" s="3" t="s">
        <v>25</v>
      </c>
      <c r="O52" t="str">
        <f>"2025-06-10"</f>
        <v>2025-06-10</v>
      </c>
      <c r="P52" t="str">
        <f>"2026-06-09"</f>
        <v>2026-06-09</v>
      </c>
    </row>
    <row r="53" spans="1:16" x14ac:dyDescent="0.2">
      <c r="A53" t="str" cm="1">
        <f t="array" ref="A53">_xlfn.LET(
    _xlpm.txt, B53,
    _xlpm.chars, MID(_xlpm.txt, _xlfn.SEQUENCE(LEN(_xlpm.txt)), 1),
    _xlpm.filtered, _xlfn._xlws.FILTER(_xlpm.chars, NOT(ISNUMBER(SEARCH(_xlpm.chars, "ABCDEFGHIJKLMNOPQRSTUVWXYZabcdefghijklmnopqrstuvwxyz")))),
    _xlfn.TEXTJOIN("",, _xlpm.filtered)
)</f>
        <v>000170</v>
      </c>
      <c r="B53" s="3" t="s">
        <v>313</v>
      </c>
      <c r="C53" s="3" t="s">
        <v>314</v>
      </c>
      <c r="D53" s="4">
        <v>225</v>
      </c>
      <c r="E53" s="3" t="s">
        <v>315</v>
      </c>
      <c r="F53" s="3" t="s">
        <v>316</v>
      </c>
      <c r="G53" s="3" t="s">
        <v>317</v>
      </c>
      <c r="H53" s="3" t="s">
        <v>59</v>
      </c>
      <c r="I53" s="3" t="s">
        <v>20</v>
      </c>
      <c r="J53" s="3" t="s">
        <v>85</v>
      </c>
      <c r="K53" s="3" t="s">
        <v>37</v>
      </c>
      <c r="L53" s="3" t="s">
        <v>38</v>
      </c>
      <c r="M53" s="3" t="s">
        <v>24</v>
      </c>
      <c r="N53" s="3" t="s">
        <v>25</v>
      </c>
      <c r="O53" t="str">
        <f>"2025-02-01"</f>
        <v>2025-02-01</v>
      </c>
      <c r="P53" t="str">
        <f>"2026-01-31"</f>
        <v>2026-01-31</v>
      </c>
    </row>
    <row r="54" spans="1:16" x14ac:dyDescent="0.2">
      <c r="A54" t="str" cm="1">
        <f t="array" ref="A54">_xlfn.LET(
    _xlpm.txt, B54,
    _xlpm.chars, MID(_xlpm.txt, _xlfn.SEQUENCE(LEN(_xlpm.txt)), 1),
    _xlpm.filtered, _xlfn._xlws.FILTER(_xlpm.chars, NOT(ISNUMBER(SEARCH(_xlpm.chars, "ABCDEFGHIJKLMNOPQRSTUVWXYZabcdefghijklmnopqrstuvwxyz")))),
    _xlfn.TEXTJOIN("",, _xlpm.filtered)
)</f>
        <v>000171</v>
      </c>
      <c r="B54" s="3" t="s">
        <v>319</v>
      </c>
      <c r="C54" s="3" t="s">
        <v>320</v>
      </c>
      <c r="D54" s="4">
        <v>180</v>
      </c>
      <c r="E54" s="3" t="s">
        <v>56</v>
      </c>
      <c r="F54" s="3" t="s">
        <v>33</v>
      </c>
      <c r="G54" s="3" t="s">
        <v>321</v>
      </c>
      <c r="H54" s="3" t="s">
        <v>59</v>
      </c>
      <c r="I54" s="3" t="s">
        <v>33</v>
      </c>
      <c r="J54" s="3" t="s">
        <v>85</v>
      </c>
      <c r="K54" s="3" t="s">
        <v>37</v>
      </c>
      <c r="L54" s="3" t="s">
        <v>138</v>
      </c>
      <c r="M54" s="3" t="s">
        <v>62</v>
      </c>
      <c r="N54" s="3" t="s">
        <v>25</v>
      </c>
      <c r="O54" t="str">
        <f>"2025-01-01"</f>
        <v>2025-01-01</v>
      </c>
      <c r="P54" t="str">
        <f>"2025-12-31"</f>
        <v>2025-12-31</v>
      </c>
    </row>
    <row r="55" spans="1:16" x14ac:dyDescent="0.2">
      <c r="A55" t="str" cm="1">
        <f t="array" ref="A55">_xlfn.LET(
    _xlpm.txt, B55,
    _xlpm.chars, MID(_xlpm.txt, _xlfn.SEQUENCE(LEN(_xlpm.txt)), 1),
    _xlpm.filtered, _xlfn._xlws.FILTER(_xlpm.chars, NOT(ISNUMBER(SEARCH(_xlpm.chars, "ABCDEFGHIJKLMNOPQRSTUVWXYZabcdefghijklmnopqrstuvwxyz")))),
    _xlfn.TEXTJOIN("",, _xlpm.filtered)
)</f>
        <v>000173</v>
      </c>
      <c r="B55" s="3" t="s">
        <v>322</v>
      </c>
      <c r="C55" s="3" t="s">
        <v>323</v>
      </c>
      <c r="D55" s="4">
        <v>160</v>
      </c>
      <c r="E55" s="3" t="s">
        <v>33</v>
      </c>
      <c r="F55" s="3" t="s">
        <v>324</v>
      </c>
      <c r="G55" s="3" t="s">
        <v>325</v>
      </c>
      <c r="H55" s="3" t="s">
        <v>84</v>
      </c>
      <c r="I55" s="3" t="s">
        <v>20</v>
      </c>
      <c r="J55" s="3" t="s">
        <v>36</v>
      </c>
      <c r="K55" s="3" t="s">
        <v>46</v>
      </c>
      <c r="L55" s="3" t="s">
        <v>38</v>
      </c>
      <c r="M55" s="3" t="s">
        <v>326</v>
      </c>
      <c r="N55" s="3" t="s">
        <v>25</v>
      </c>
      <c r="O55" t="str">
        <f>"2025-06-01"</f>
        <v>2025-06-01</v>
      </c>
      <c r="P55" t="str">
        <f>"2026-05-31"</f>
        <v>2026-05-31</v>
      </c>
    </row>
    <row r="56" spans="1:16" x14ac:dyDescent="0.2">
      <c r="A56" t="str" cm="1">
        <f t="array" ref="A56">_xlfn.LET(
    _xlpm.txt, B56,
    _xlpm.chars, MID(_xlpm.txt, _xlfn.SEQUENCE(LEN(_xlpm.txt)), 1),
    _xlpm.filtered, _xlfn._xlws.FILTER(_xlpm.chars, NOT(ISNUMBER(SEARCH(_xlpm.chars, "ABCDEFGHIJKLMNOPQRSTUVWXYZabcdefghijklmnopqrstuvwxyz")))),
    _xlfn.TEXTJOIN("",, _xlpm.filtered)
)</f>
        <v>000175</v>
      </c>
      <c r="B56" s="3" t="s">
        <v>327</v>
      </c>
      <c r="C56" s="3" t="s">
        <v>328</v>
      </c>
      <c r="D56" s="4">
        <v>360</v>
      </c>
      <c r="E56" s="3" t="s">
        <v>329</v>
      </c>
      <c r="F56" s="3" t="s">
        <v>330</v>
      </c>
      <c r="G56" s="3" t="s">
        <v>331</v>
      </c>
      <c r="H56" s="3" t="s">
        <v>59</v>
      </c>
      <c r="I56" s="3" t="s">
        <v>20</v>
      </c>
      <c r="J56" s="3" t="s">
        <v>119</v>
      </c>
      <c r="K56" s="3" t="s">
        <v>22</v>
      </c>
      <c r="L56" s="3" t="s">
        <v>38</v>
      </c>
      <c r="M56" s="3" t="s">
        <v>87</v>
      </c>
      <c r="N56" s="3" t="s">
        <v>25</v>
      </c>
      <c r="O56" t="str">
        <f>"2025-05-01"</f>
        <v>2025-05-01</v>
      </c>
      <c r="P56" t="str">
        <f>"2026-04-30"</f>
        <v>2026-04-30</v>
      </c>
    </row>
    <row r="57" spans="1:16" x14ac:dyDescent="0.2">
      <c r="A57" t="str" cm="1">
        <f t="array" ref="A57">_xlfn.LET(
    _xlpm.txt, B57,
    _xlpm.chars, MID(_xlpm.txt, _xlfn.SEQUENCE(LEN(_xlpm.txt)), 1),
    _xlpm.filtered, _xlfn._xlws.FILTER(_xlpm.chars, NOT(ISNUMBER(SEARCH(_xlpm.chars, "ABCDEFGHIJKLMNOPQRSTUVWXYZabcdefghijklmnopqrstuvwxyz")))),
    _xlfn.TEXTJOIN("",, _xlpm.filtered)
)</f>
        <v>000176</v>
      </c>
      <c r="B57" s="3" t="s">
        <v>332</v>
      </c>
      <c r="C57" s="3" t="s">
        <v>121</v>
      </c>
      <c r="D57" s="4">
        <v>360</v>
      </c>
      <c r="E57" s="3" t="s">
        <v>333</v>
      </c>
      <c r="F57" s="3" t="s">
        <v>334</v>
      </c>
      <c r="G57" s="3" t="s">
        <v>335</v>
      </c>
      <c r="H57" s="3" t="s">
        <v>84</v>
      </c>
      <c r="I57" s="3" t="s">
        <v>20</v>
      </c>
      <c r="J57" s="3" t="s">
        <v>229</v>
      </c>
      <c r="K57" s="3" t="s">
        <v>37</v>
      </c>
      <c r="L57" s="3" t="s">
        <v>86</v>
      </c>
      <c r="M57" s="3" t="s">
        <v>48</v>
      </c>
      <c r="N57" s="3" t="s">
        <v>25</v>
      </c>
      <c r="O57" t="str">
        <f>"2025-05-01"</f>
        <v>2025-05-01</v>
      </c>
      <c r="P57" t="str">
        <f>"2026-04-30"</f>
        <v>2026-04-30</v>
      </c>
    </row>
    <row r="58" spans="1:16" x14ac:dyDescent="0.2">
      <c r="A58" t="str" cm="1">
        <f t="array" ref="A58">_xlfn.LET(
    _xlpm.txt, B58,
    _xlpm.chars, MID(_xlpm.txt, _xlfn.SEQUENCE(LEN(_xlpm.txt)), 1),
    _xlpm.filtered, _xlfn._xlws.FILTER(_xlpm.chars, NOT(ISNUMBER(SEARCH(_xlpm.chars, "ABCDEFGHIJKLMNOPQRSTUVWXYZabcdefghijklmnopqrstuvwxyz")))),
    _xlfn.TEXTJOIN("",, _xlpm.filtered)
)</f>
        <v>000180</v>
      </c>
      <c r="B58" s="3" t="s">
        <v>336</v>
      </c>
      <c r="C58" s="3" t="s">
        <v>252</v>
      </c>
      <c r="D58" s="4">
        <v>400</v>
      </c>
      <c r="E58" s="3" t="s">
        <v>253</v>
      </c>
      <c r="F58" s="3" t="s">
        <v>337</v>
      </c>
      <c r="G58" s="3" t="s">
        <v>338</v>
      </c>
      <c r="H58" s="3" t="s">
        <v>84</v>
      </c>
      <c r="I58" s="3" t="s">
        <v>20</v>
      </c>
      <c r="J58" s="3" t="s">
        <v>119</v>
      </c>
      <c r="K58" s="3" t="s">
        <v>339</v>
      </c>
      <c r="L58" s="3" t="s">
        <v>38</v>
      </c>
      <c r="M58" s="3" t="s">
        <v>87</v>
      </c>
      <c r="N58" s="3" t="s">
        <v>25</v>
      </c>
      <c r="O58" t="str">
        <f>"2024-11-16"</f>
        <v>2024-11-16</v>
      </c>
      <c r="P58" t="str">
        <f>"2025-11-15"</f>
        <v>2025-11-15</v>
      </c>
    </row>
    <row r="59" spans="1:16" x14ac:dyDescent="0.2">
      <c r="A59" t="str" cm="1">
        <f t="array" ref="A59">_xlfn.LET(
    _xlpm.txt, B59,
    _xlpm.chars, MID(_xlpm.txt, _xlfn.SEQUENCE(LEN(_xlpm.txt)), 1),
    _xlpm.filtered, _xlfn._xlws.FILTER(_xlpm.chars, NOT(ISNUMBER(SEARCH(_xlpm.chars, "ABCDEFGHIJKLMNOPQRSTUVWXYZabcdefghijklmnopqrstuvwxyz")))),
    _xlfn.TEXTJOIN("",, _xlpm.filtered)
)</f>
        <v>000181</v>
      </c>
      <c r="B59" s="3" t="s">
        <v>340</v>
      </c>
      <c r="C59" s="3" t="s">
        <v>121</v>
      </c>
      <c r="D59" s="4">
        <v>150</v>
      </c>
      <c r="E59" s="3" t="s">
        <v>341</v>
      </c>
      <c r="F59" s="3" t="s">
        <v>33</v>
      </c>
      <c r="G59" s="3" t="s">
        <v>342</v>
      </c>
      <c r="H59" s="3" t="s">
        <v>84</v>
      </c>
      <c r="I59" s="3" t="s">
        <v>20</v>
      </c>
      <c r="J59" s="3" t="s">
        <v>60</v>
      </c>
      <c r="K59" s="3" t="s">
        <v>37</v>
      </c>
      <c r="L59" s="3" t="s">
        <v>138</v>
      </c>
      <c r="M59" s="3" t="s">
        <v>48</v>
      </c>
      <c r="N59" s="3" t="s">
        <v>25</v>
      </c>
      <c r="O59" t="str">
        <f>"2025-05-01"</f>
        <v>2025-05-01</v>
      </c>
      <c r="P59" t="str">
        <f>"2026-04-30"</f>
        <v>2026-04-30</v>
      </c>
    </row>
    <row r="60" spans="1:16" x14ac:dyDescent="0.2">
      <c r="A60" t="str" cm="1">
        <f t="array" ref="A60">_xlfn.LET(
    _xlpm.txt, B60,
    _xlpm.chars, MID(_xlpm.txt, _xlfn.SEQUENCE(LEN(_xlpm.txt)), 1),
    _xlpm.filtered, _xlfn._xlws.FILTER(_xlpm.chars, NOT(ISNUMBER(SEARCH(_xlpm.chars, "ABCDEFGHIJKLMNOPQRSTUVWXYZabcdefghijklmnopqrstuvwxyz")))),
    _xlfn.TEXTJOIN("",, _xlpm.filtered)
)</f>
        <v>000182</v>
      </c>
      <c r="B60" s="3" t="s">
        <v>343</v>
      </c>
      <c r="C60" s="3" t="s">
        <v>121</v>
      </c>
      <c r="D60" s="4">
        <v>360</v>
      </c>
      <c r="E60" s="3" t="s">
        <v>333</v>
      </c>
      <c r="F60" s="3" t="s">
        <v>344</v>
      </c>
      <c r="G60" s="3" t="s">
        <v>345</v>
      </c>
      <c r="H60" s="3" t="s">
        <v>84</v>
      </c>
      <c r="I60" s="3" t="s">
        <v>20</v>
      </c>
      <c r="J60" s="3" t="s">
        <v>73</v>
      </c>
      <c r="K60" s="3" t="s">
        <v>22</v>
      </c>
      <c r="L60" s="3" t="s">
        <v>47</v>
      </c>
      <c r="M60" s="3" t="s">
        <v>48</v>
      </c>
      <c r="N60" s="3" t="s">
        <v>25</v>
      </c>
      <c r="O60" t="str">
        <f>"2025-05-01"</f>
        <v>2025-05-01</v>
      </c>
      <c r="P60" t="str">
        <f>"2026-04-30"</f>
        <v>2026-04-30</v>
      </c>
    </row>
    <row r="61" spans="1:16" x14ac:dyDescent="0.2">
      <c r="A61" t="str" cm="1">
        <f t="array" ref="A61">_xlfn.LET(
    _xlpm.txt, B61,
    _xlpm.chars, MID(_xlpm.txt, _xlfn.SEQUENCE(LEN(_xlpm.txt)), 1),
    _xlpm.filtered, _xlfn._xlws.FILTER(_xlpm.chars, NOT(ISNUMBER(SEARCH(_xlpm.chars, "ABCDEFGHIJKLMNOPQRSTUVWXYZabcdefghijklmnopqrstuvwxyz")))),
    _xlfn.TEXTJOIN("",, _xlpm.filtered)
)</f>
        <v>000184</v>
      </c>
      <c r="B61" s="3" t="s">
        <v>346</v>
      </c>
      <c r="C61" s="3" t="s">
        <v>347</v>
      </c>
      <c r="D61" s="4">
        <v>180</v>
      </c>
      <c r="E61" s="3" t="s">
        <v>348</v>
      </c>
      <c r="F61" s="3" t="s">
        <v>33</v>
      </c>
      <c r="G61" s="3" t="s">
        <v>349</v>
      </c>
      <c r="H61" s="3" t="s">
        <v>84</v>
      </c>
      <c r="I61" s="3" t="s">
        <v>20</v>
      </c>
      <c r="J61" s="3" t="s">
        <v>60</v>
      </c>
      <c r="K61" s="3" t="s">
        <v>46</v>
      </c>
      <c r="L61" s="3" t="s">
        <v>350</v>
      </c>
      <c r="M61" s="3" t="s">
        <v>144</v>
      </c>
      <c r="N61" s="3" t="s">
        <v>25</v>
      </c>
      <c r="O61" t="str">
        <f>"2024-09-25"</f>
        <v>2024-09-25</v>
      </c>
      <c r="P61" t="str">
        <f>"2025-09-24"</f>
        <v>2025-09-24</v>
      </c>
    </row>
    <row r="62" spans="1:16" x14ac:dyDescent="0.2">
      <c r="A62" t="str" cm="1">
        <f t="array" ref="A62">_xlfn.LET(
    _xlpm.txt, B62,
    _xlpm.chars, MID(_xlpm.txt, _xlfn.SEQUENCE(LEN(_xlpm.txt)), 1),
    _xlpm.filtered, _xlfn._xlws.FILTER(_xlpm.chars, NOT(ISNUMBER(SEARCH(_xlpm.chars, "ABCDEFGHIJKLMNOPQRSTUVWXYZabcdefghijklmnopqrstuvwxyz")))),
    _xlfn.TEXTJOIN("",, _xlpm.filtered)
)</f>
        <v>000185</v>
      </c>
      <c r="B62" s="3" t="s">
        <v>351</v>
      </c>
      <c r="C62" s="3" t="s">
        <v>134</v>
      </c>
      <c r="D62" s="4">
        <v>600</v>
      </c>
      <c r="E62" s="3" t="s">
        <v>352</v>
      </c>
      <c r="F62" s="3" t="s">
        <v>33</v>
      </c>
      <c r="G62" s="3" t="s">
        <v>353</v>
      </c>
      <c r="H62" s="3" t="s">
        <v>354</v>
      </c>
      <c r="I62" s="3" t="s">
        <v>20</v>
      </c>
      <c r="J62" s="3" t="s">
        <v>229</v>
      </c>
      <c r="K62" s="3" t="s">
        <v>355</v>
      </c>
      <c r="L62" s="3" t="s">
        <v>23</v>
      </c>
      <c r="M62" s="3" t="s">
        <v>24</v>
      </c>
      <c r="N62" s="3" t="s">
        <v>25</v>
      </c>
      <c r="O62" t="str">
        <f>"2024-11-01"</f>
        <v>2024-11-01</v>
      </c>
      <c r="P62" t="str">
        <f>"2025-10-31"</f>
        <v>2025-10-31</v>
      </c>
    </row>
    <row r="63" spans="1:16" x14ac:dyDescent="0.2">
      <c r="A63" t="str" cm="1">
        <f t="array" ref="A63">_xlfn.LET(
    _xlpm.txt, B63,
    _xlpm.chars, MID(_xlpm.txt, _xlfn.SEQUENCE(LEN(_xlpm.txt)), 1),
    _xlpm.filtered, _xlfn._xlws.FILTER(_xlpm.chars, NOT(ISNUMBER(SEARCH(_xlpm.chars, "ABCDEFGHIJKLMNOPQRSTUVWXYZabcdefghijklmnopqrstuvwxyz")))),
    _xlfn.TEXTJOIN("",, _xlpm.filtered)
)</f>
        <v>000186</v>
      </c>
      <c r="B63" s="3" t="s">
        <v>356</v>
      </c>
      <c r="C63" s="3" t="s">
        <v>252</v>
      </c>
      <c r="D63" s="4">
        <v>200</v>
      </c>
      <c r="E63" s="3" t="s">
        <v>253</v>
      </c>
      <c r="F63" s="3" t="s">
        <v>357</v>
      </c>
      <c r="G63" s="3" t="s">
        <v>358</v>
      </c>
      <c r="H63" s="3" t="s">
        <v>84</v>
      </c>
      <c r="I63" s="3" t="s">
        <v>20</v>
      </c>
      <c r="J63" s="3" t="s">
        <v>73</v>
      </c>
      <c r="K63" s="3" t="s">
        <v>61</v>
      </c>
      <c r="L63" s="3" t="s">
        <v>38</v>
      </c>
      <c r="M63" s="3" t="s">
        <v>24</v>
      </c>
      <c r="N63" s="3" t="s">
        <v>25</v>
      </c>
      <c r="O63" t="str">
        <f>"2025-02-04"</f>
        <v>2025-02-04</v>
      </c>
      <c r="P63" t="str">
        <f>"2026-02-03"</f>
        <v>2026-02-03</v>
      </c>
    </row>
    <row r="64" spans="1:16" x14ac:dyDescent="0.2">
      <c r="A64" t="str" cm="1">
        <f t="array" ref="A64">_xlfn.LET(
    _xlpm.txt, B64,
    _xlpm.chars, MID(_xlpm.txt, _xlfn.SEQUENCE(LEN(_xlpm.txt)), 1),
    _xlpm.filtered, _xlfn._xlws.FILTER(_xlpm.chars, NOT(ISNUMBER(SEARCH(_xlpm.chars, "ABCDEFGHIJKLMNOPQRSTUVWXYZabcdefghijklmnopqrstuvwxyz")))),
    _xlfn.TEXTJOIN("",, _xlpm.filtered)
)</f>
        <v>000189</v>
      </c>
      <c r="B64" s="3" t="s">
        <v>359</v>
      </c>
      <c r="C64" s="3" t="s">
        <v>360</v>
      </c>
      <c r="D64" s="4">
        <v>130</v>
      </c>
      <c r="E64" s="3" t="s">
        <v>361</v>
      </c>
      <c r="F64" s="3" t="s">
        <v>33</v>
      </c>
      <c r="G64" s="3" t="s">
        <v>362</v>
      </c>
      <c r="H64" s="3" t="s">
        <v>363</v>
      </c>
      <c r="I64" s="3" t="s">
        <v>33</v>
      </c>
      <c r="J64" s="3" t="s">
        <v>67</v>
      </c>
      <c r="K64" s="3" t="s">
        <v>33</v>
      </c>
      <c r="L64" s="3" t="s">
        <v>38</v>
      </c>
      <c r="M64" s="3" t="s">
        <v>33</v>
      </c>
      <c r="N64" s="3" t="s">
        <v>273</v>
      </c>
      <c r="O64" t="str">
        <f>"2023-11-15"</f>
        <v>2023-11-15</v>
      </c>
      <c r="P64" t="str">
        <f>"2024-11-14"</f>
        <v>2024-11-14</v>
      </c>
    </row>
    <row r="65" spans="1:16" x14ac:dyDescent="0.2">
      <c r="A65" t="str" cm="1">
        <f t="array" ref="A65">_xlfn.LET(
    _xlpm.txt, B65,
    _xlpm.chars, MID(_xlpm.txt, _xlfn.SEQUENCE(LEN(_xlpm.txt)), 1),
    _xlpm.filtered, _xlfn._xlws.FILTER(_xlpm.chars, NOT(ISNUMBER(SEARCH(_xlpm.chars, "ABCDEFGHIJKLMNOPQRSTUVWXYZabcdefghijklmnopqrstuvwxyz")))),
    _xlfn.TEXTJOIN("",, _xlpm.filtered)
)</f>
        <v>000190</v>
      </c>
      <c r="B65" s="3" t="s">
        <v>364</v>
      </c>
      <c r="C65" s="3" t="s">
        <v>365</v>
      </c>
      <c r="D65" s="4">
        <v>120</v>
      </c>
      <c r="E65" s="3" t="s">
        <v>366</v>
      </c>
      <c r="F65" s="3" t="s">
        <v>33</v>
      </c>
      <c r="G65" s="3" t="s">
        <v>367</v>
      </c>
      <c r="H65" s="3" t="s">
        <v>368</v>
      </c>
      <c r="I65" s="3" t="s">
        <v>20</v>
      </c>
      <c r="J65" s="3" t="s">
        <v>36</v>
      </c>
      <c r="K65" s="3" t="s">
        <v>22</v>
      </c>
      <c r="L65" s="3" t="s">
        <v>174</v>
      </c>
      <c r="M65" s="3" t="s">
        <v>48</v>
      </c>
      <c r="N65" s="3" t="s">
        <v>25</v>
      </c>
      <c r="O65" t="str">
        <f>"2025-02-15"</f>
        <v>2025-02-15</v>
      </c>
      <c r="P65" t="str">
        <f>"2026-02-14"</f>
        <v>2026-02-14</v>
      </c>
    </row>
    <row r="66" spans="1:16" x14ac:dyDescent="0.2">
      <c r="A66" t="str" cm="1">
        <f t="array" ref="A66">_xlfn.LET(
    _xlpm.txt, B66,
    _xlpm.chars, MID(_xlpm.txt, _xlfn.SEQUENCE(LEN(_xlpm.txt)), 1),
    _xlpm.filtered, _xlfn._xlws.FILTER(_xlpm.chars, NOT(ISNUMBER(SEARCH(_xlpm.chars, "ABCDEFGHIJKLMNOPQRSTUVWXYZabcdefghijklmnopqrstuvwxyz")))),
    _xlfn.TEXTJOIN("",, _xlpm.filtered)
)</f>
        <v>000191</v>
      </c>
      <c r="B66" s="3" t="s">
        <v>369</v>
      </c>
      <c r="C66" s="3" t="s">
        <v>286</v>
      </c>
      <c r="D66" s="4">
        <v>140</v>
      </c>
      <c r="E66" s="3" t="s">
        <v>370</v>
      </c>
      <c r="F66" s="3" t="s">
        <v>33</v>
      </c>
      <c r="G66" s="3" t="s">
        <v>371</v>
      </c>
      <c r="H66" s="3" t="s">
        <v>202</v>
      </c>
      <c r="I66" s="3" t="s">
        <v>20</v>
      </c>
      <c r="J66" s="3" t="s">
        <v>36</v>
      </c>
      <c r="K66" s="3" t="s">
        <v>37</v>
      </c>
      <c r="L66" s="3" t="s">
        <v>47</v>
      </c>
      <c r="M66" s="3" t="s">
        <v>48</v>
      </c>
      <c r="N66" s="3" t="s">
        <v>25</v>
      </c>
      <c r="O66" t="str">
        <f>"2025-04-01"</f>
        <v>2025-04-01</v>
      </c>
      <c r="P66" t="str">
        <f>"2026-03-31"</f>
        <v>2026-03-31</v>
      </c>
    </row>
    <row r="67" spans="1:16" x14ac:dyDescent="0.2">
      <c r="A67" t="str" cm="1">
        <f t="array" ref="A67">_xlfn.LET(
    _xlpm.txt, B67,
    _xlpm.chars, MID(_xlpm.txt, _xlfn.SEQUENCE(LEN(_xlpm.txt)), 1),
    _xlpm.filtered, _xlfn._xlws.FILTER(_xlpm.chars, NOT(ISNUMBER(SEARCH(_xlpm.chars, "ABCDEFGHIJKLMNOPQRSTUVWXYZabcdefghijklmnopqrstuvwxyz")))),
    _xlfn.TEXTJOIN("",, _xlpm.filtered)
)</f>
        <v>000193</v>
      </c>
      <c r="B67" s="3" t="s">
        <v>372</v>
      </c>
      <c r="C67" s="3" t="s">
        <v>373</v>
      </c>
      <c r="D67" s="4">
        <v>500</v>
      </c>
      <c r="E67" s="3" t="s">
        <v>374</v>
      </c>
      <c r="F67" s="3" t="s">
        <v>375</v>
      </c>
      <c r="G67" s="3" t="s">
        <v>376</v>
      </c>
      <c r="H67" s="3" t="s">
        <v>132</v>
      </c>
      <c r="I67" s="3" t="s">
        <v>20</v>
      </c>
      <c r="J67" s="3" t="s">
        <v>229</v>
      </c>
      <c r="K67" s="3" t="s">
        <v>377</v>
      </c>
      <c r="L67" s="3" t="s">
        <v>378</v>
      </c>
      <c r="M67" s="3" t="s">
        <v>377</v>
      </c>
      <c r="N67" s="3" t="s">
        <v>25</v>
      </c>
      <c r="O67" t="str">
        <f>"2025-02-01"</f>
        <v>2025-02-01</v>
      </c>
      <c r="P67" t="str">
        <f>"2026-01-31"</f>
        <v>2026-01-31</v>
      </c>
    </row>
    <row r="68" spans="1:16" x14ac:dyDescent="0.2">
      <c r="A68" t="str" cm="1">
        <f t="array" ref="A68">_xlfn.LET(
    _xlpm.txt, B68,
    _xlpm.chars, MID(_xlpm.txt, _xlfn.SEQUENCE(LEN(_xlpm.txt)), 1),
    _xlpm.filtered, _xlfn._xlws.FILTER(_xlpm.chars, NOT(ISNUMBER(SEARCH(_xlpm.chars, "ABCDEFGHIJKLMNOPQRSTUVWXYZabcdefghijklmnopqrstuvwxyz")))),
    _xlfn.TEXTJOIN("",, _xlpm.filtered)
)</f>
        <v>000194</v>
      </c>
      <c r="B68" s="3" t="s">
        <v>379</v>
      </c>
      <c r="C68" s="3" t="s">
        <v>380</v>
      </c>
      <c r="D68" s="4">
        <v>400</v>
      </c>
      <c r="E68" s="3" t="s">
        <v>381</v>
      </c>
      <c r="F68" s="3" t="s">
        <v>33</v>
      </c>
      <c r="G68" s="3" t="s">
        <v>382</v>
      </c>
      <c r="H68" s="3" t="s">
        <v>368</v>
      </c>
      <c r="I68" s="3" t="s">
        <v>20</v>
      </c>
      <c r="J68" s="3" t="s">
        <v>67</v>
      </c>
      <c r="K68" s="3" t="s">
        <v>37</v>
      </c>
      <c r="L68" s="3" t="s">
        <v>38</v>
      </c>
      <c r="M68" s="3" t="s">
        <v>92</v>
      </c>
      <c r="N68" s="3" t="s">
        <v>25</v>
      </c>
      <c r="O68" t="str">
        <f>"2024-11-01"</f>
        <v>2024-11-01</v>
      </c>
      <c r="P68" t="str">
        <f>"2025-10-31"</f>
        <v>2025-10-31</v>
      </c>
    </row>
    <row r="69" spans="1:16" x14ac:dyDescent="0.2">
      <c r="A69" t="str" cm="1">
        <f t="array" ref="A69">_xlfn.LET(
    _xlpm.txt, B69,
    _xlpm.chars, MID(_xlpm.txt, _xlfn.SEQUENCE(LEN(_xlpm.txt)), 1),
    _xlpm.filtered, _xlfn._xlws.FILTER(_xlpm.chars, NOT(ISNUMBER(SEARCH(_xlpm.chars, "ABCDEFGHIJKLMNOPQRSTUVWXYZabcdefghijklmnopqrstuvwxyz")))),
    _xlfn.TEXTJOIN("",, _xlpm.filtered)
)</f>
        <v>000195</v>
      </c>
      <c r="B69" s="3" t="s">
        <v>383</v>
      </c>
      <c r="C69" s="3" t="s">
        <v>320</v>
      </c>
      <c r="D69" s="4">
        <v>180</v>
      </c>
      <c r="E69" s="3" t="s">
        <v>384</v>
      </c>
      <c r="F69" s="3" t="s">
        <v>385</v>
      </c>
      <c r="G69" s="3" t="s">
        <v>386</v>
      </c>
      <c r="H69" s="3" t="s">
        <v>184</v>
      </c>
      <c r="I69" s="3" t="s">
        <v>20</v>
      </c>
      <c r="J69" s="3" t="s">
        <v>85</v>
      </c>
      <c r="K69" s="3" t="s">
        <v>22</v>
      </c>
      <c r="L69" s="3" t="s">
        <v>38</v>
      </c>
      <c r="M69" s="3" t="s">
        <v>387</v>
      </c>
      <c r="N69" s="3" t="s">
        <v>25</v>
      </c>
      <c r="O69" t="str">
        <f>"2025-01-01"</f>
        <v>2025-01-01</v>
      </c>
      <c r="P69" t="str">
        <f>"2025-12-31"</f>
        <v>2025-12-31</v>
      </c>
    </row>
    <row r="70" spans="1:16" x14ac:dyDescent="0.2">
      <c r="A70" t="str" cm="1">
        <f t="array" ref="A70">_xlfn.LET(
    _xlpm.txt, B70,
    _xlpm.chars, MID(_xlpm.txt, _xlfn.SEQUENCE(LEN(_xlpm.txt)), 1),
    _xlpm.filtered, _xlfn._xlws.FILTER(_xlpm.chars, NOT(ISNUMBER(SEARCH(_xlpm.chars, "ABCDEFGHIJKLMNOPQRSTUVWXYZabcdefghijklmnopqrstuvwxyz")))),
    _xlfn.TEXTJOIN("",, _xlpm.filtered)
)</f>
        <v>000196</v>
      </c>
      <c r="B70" s="3" t="s">
        <v>388</v>
      </c>
      <c r="C70" s="3" t="s">
        <v>389</v>
      </c>
      <c r="D70" s="4">
        <v>400</v>
      </c>
      <c r="E70" s="3" t="s">
        <v>188</v>
      </c>
      <c r="F70" s="3" t="s">
        <v>390</v>
      </c>
      <c r="G70" s="3" t="s">
        <v>391</v>
      </c>
      <c r="H70" s="3" t="s">
        <v>59</v>
      </c>
      <c r="I70" s="3" t="s">
        <v>20</v>
      </c>
      <c r="J70" s="3" t="s">
        <v>119</v>
      </c>
      <c r="K70" s="3" t="s">
        <v>22</v>
      </c>
      <c r="L70" s="3" t="s">
        <v>138</v>
      </c>
      <c r="M70" s="3" t="s">
        <v>392</v>
      </c>
      <c r="N70" s="3" t="s">
        <v>25</v>
      </c>
      <c r="O70" t="str">
        <f>"2025-08-15"</f>
        <v>2025-08-15</v>
      </c>
      <c r="P70" t="str">
        <f>"2026-08-14"</f>
        <v>2026-08-14</v>
      </c>
    </row>
    <row r="71" spans="1:16" x14ac:dyDescent="0.2">
      <c r="A71" t="str" cm="1">
        <f t="array" ref="A71">_xlfn.LET(
    _xlpm.txt, B71,
    _xlpm.chars, MID(_xlpm.txt, _xlfn.SEQUENCE(LEN(_xlpm.txt)), 1),
    _xlpm.filtered, _xlfn._xlws.FILTER(_xlpm.chars, NOT(ISNUMBER(SEARCH(_xlpm.chars, "ABCDEFGHIJKLMNOPQRSTUVWXYZabcdefghijklmnopqrstuvwxyz")))),
    _xlfn.TEXTJOIN("",, _xlpm.filtered)
)</f>
        <v>000201</v>
      </c>
      <c r="B71" s="3" t="s">
        <v>393</v>
      </c>
      <c r="C71" s="3" t="s">
        <v>394</v>
      </c>
      <c r="D71" s="4">
        <v>250</v>
      </c>
      <c r="E71" s="3" t="s">
        <v>395</v>
      </c>
      <c r="F71" s="3" t="s">
        <v>33</v>
      </c>
      <c r="G71" s="3" t="s">
        <v>396</v>
      </c>
      <c r="H71" s="3" t="s">
        <v>308</v>
      </c>
      <c r="I71" s="3" t="s">
        <v>20</v>
      </c>
      <c r="J71" s="3" t="s">
        <v>73</v>
      </c>
      <c r="K71" s="3" t="s">
        <v>46</v>
      </c>
      <c r="L71" s="3" t="s">
        <v>38</v>
      </c>
      <c r="M71" s="3" t="s">
        <v>48</v>
      </c>
      <c r="N71" s="3" t="s">
        <v>25</v>
      </c>
      <c r="O71" t="str">
        <f>"2025-03-01"</f>
        <v>2025-03-01</v>
      </c>
      <c r="P71" t="str">
        <f>"2026-02-28"</f>
        <v>2026-02-28</v>
      </c>
    </row>
    <row r="72" spans="1:16" x14ac:dyDescent="0.2">
      <c r="A72" t="str" cm="1">
        <f t="array" ref="A72">_xlfn.LET(
    _xlpm.txt, B72,
    _xlpm.chars, MID(_xlpm.txt, _xlfn.SEQUENCE(LEN(_xlpm.txt)), 1),
    _xlpm.filtered, _xlfn._xlws.FILTER(_xlpm.chars, NOT(ISNUMBER(SEARCH(_xlpm.chars, "ABCDEFGHIJKLMNOPQRSTUVWXYZabcdefghijklmnopqrstuvwxyz")))),
    _xlfn.TEXTJOIN("",, _xlpm.filtered)
)</f>
        <v>000202</v>
      </c>
      <c r="B72" s="3" t="s">
        <v>397</v>
      </c>
      <c r="C72" s="3" t="s">
        <v>398</v>
      </c>
      <c r="D72" s="4">
        <v>200</v>
      </c>
      <c r="E72" s="3" t="s">
        <v>110</v>
      </c>
      <c r="F72" s="3" t="s">
        <v>33</v>
      </c>
      <c r="G72" s="3" t="s">
        <v>399</v>
      </c>
      <c r="H72" s="3" t="s">
        <v>400</v>
      </c>
      <c r="I72" s="3" t="s">
        <v>20</v>
      </c>
      <c r="J72" s="3" t="s">
        <v>85</v>
      </c>
      <c r="K72" s="3" t="s">
        <v>37</v>
      </c>
      <c r="L72" s="3" t="s">
        <v>38</v>
      </c>
      <c r="M72" s="3" t="s">
        <v>401</v>
      </c>
      <c r="N72" s="3" t="s">
        <v>25</v>
      </c>
      <c r="O72" t="str">
        <f>"2024-11-01"</f>
        <v>2024-11-01</v>
      </c>
      <c r="P72" t="str">
        <f>"2025-10-31"</f>
        <v>2025-10-31</v>
      </c>
    </row>
    <row r="73" spans="1:16" x14ac:dyDescent="0.2">
      <c r="A73" t="str" cm="1">
        <f t="array" ref="A73">_xlfn.LET(
    _xlpm.txt, B73,
    _xlpm.chars, MID(_xlpm.txt, _xlfn.SEQUENCE(LEN(_xlpm.txt)), 1),
    _xlpm.filtered, _xlfn._xlws.FILTER(_xlpm.chars, NOT(ISNUMBER(SEARCH(_xlpm.chars, "ABCDEFGHIJKLMNOPQRSTUVWXYZabcdefghijklmnopqrstuvwxyz")))),
    _xlfn.TEXTJOIN("",, _xlpm.filtered)
)</f>
        <v>000204</v>
      </c>
      <c r="B73" s="3" t="s">
        <v>402</v>
      </c>
      <c r="C73" s="3" t="s">
        <v>403</v>
      </c>
      <c r="D73" s="4">
        <v>150</v>
      </c>
      <c r="E73" s="3" t="s">
        <v>404</v>
      </c>
      <c r="F73" s="3" t="s">
        <v>33</v>
      </c>
      <c r="G73" s="3" t="s">
        <v>405</v>
      </c>
      <c r="H73" s="3" t="s">
        <v>406</v>
      </c>
      <c r="I73" s="3" t="s">
        <v>20</v>
      </c>
      <c r="J73" s="3" t="s">
        <v>67</v>
      </c>
      <c r="K73" s="3" t="s">
        <v>37</v>
      </c>
      <c r="L73" s="3" t="s">
        <v>408</v>
      </c>
      <c r="M73" s="3" t="s">
        <v>48</v>
      </c>
      <c r="N73" s="3" t="s">
        <v>25</v>
      </c>
      <c r="O73" t="str">
        <f>"2025-05-01"</f>
        <v>2025-05-01</v>
      </c>
      <c r="P73" t="str">
        <f>"2026-04-30"</f>
        <v>2026-04-30</v>
      </c>
    </row>
    <row r="74" spans="1:16" x14ac:dyDescent="0.2">
      <c r="A74" t="str" cm="1">
        <f t="array" ref="A74">_xlfn.LET(
    _xlpm.txt, B74,
    _xlpm.chars, MID(_xlpm.txt, _xlfn.SEQUENCE(LEN(_xlpm.txt)), 1),
    _xlpm.filtered, _xlfn._xlws.FILTER(_xlpm.chars, NOT(ISNUMBER(SEARCH(_xlpm.chars, "ABCDEFGHIJKLMNOPQRSTUVWXYZabcdefghijklmnopqrstuvwxyz")))),
    _xlfn.TEXTJOIN("",, _xlpm.filtered)
)</f>
        <v>000206</v>
      </c>
      <c r="B74" s="3" t="s">
        <v>409</v>
      </c>
      <c r="C74" s="3" t="s">
        <v>410</v>
      </c>
      <c r="D74" s="4">
        <v>150</v>
      </c>
      <c r="E74" s="3" t="s">
        <v>411</v>
      </c>
      <c r="F74" s="3" t="s">
        <v>33</v>
      </c>
      <c r="G74" s="3" t="s">
        <v>412</v>
      </c>
      <c r="H74" s="3" t="s">
        <v>413</v>
      </c>
      <c r="I74" s="3" t="s">
        <v>20</v>
      </c>
      <c r="J74" s="3" t="s">
        <v>67</v>
      </c>
      <c r="K74" s="3" t="s">
        <v>37</v>
      </c>
      <c r="L74" s="3" t="s">
        <v>38</v>
      </c>
      <c r="M74" s="3" t="s">
        <v>87</v>
      </c>
      <c r="N74" s="3" t="s">
        <v>25</v>
      </c>
      <c r="O74" t="str">
        <f>"2025-05-15"</f>
        <v>2025-05-15</v>
      </c>
      <c r="P74" t="str">
        <f>"2026-05-14"</f>
        <v>2026-05-14</v>
      </c>
    </row>
    <row r="75" spans="1:16" x14ac:dyDescent="0.2">
      <c r="A75" t="str" cm="1">
        <f t="array" ref="A75">_xlfn.LET(
    _xlpm.txt, B75,
    _xlpm.chars, MID(_xlpm.txt, _xlfn.SEQUENCE(LEN(_xlpm.txt)), 1),
    _xlpm.filtered, _xlfn._xlws.FILTER(_xlpm.chars, NOT(ISNUMBER(SEARCH(_xlpm.chars, "ABCDEFGHIJKLMNOPQRSTUVWXYZabcdefghijklmnopqrstuvwxyz")))),
    _xlfn.TEXTJOIN("",, _xlpm.filtered)
)</f>
        <v>000207</v>
      </c>
      <c r="B75" s="3" t="s">
        <v>414</v>
      </c>
      <c r="C75" s="3" t="s">
        <v>415</v>
      </c>
      <c r="D75" s="4">
        <v>120</v>
      </c>
      <c r="E75" s="3" t="s">
        <v>416</v>
      </c>
      <c r="F75" s="3" t="s">
        <v>33</v>
      </c>
      <c r="G75" s="3" t="s">
        <v>417</v>
      </c>
      <c r="H75" s="3" t="s">
        <v>418</v>
      </c>
      <c r="I75" s="3" t="s">
        <v>20</v>
      </c>
      <c r="J75" s="3" t="s">
        <v>36</v>
      </c>
      <c r="K75" s="3" t="s">
        <v>33</v>
      </c>
      <c r="L75" s="3" t="s">
        <v>38</v>
      </c>
      <c r="M75" s="3" t="s">
        <v>33</v>
      </c>
      <c r="N75" s="3" t="s">
        <v>25</v>
      </c>
      <c r="O75" t="str">
        <f>"2025-02-01"</f>
        <v>2025-02-01</v>
      </c>
      <c r="P75" t="str">
        <f>"2026-01-31"</f>
        <v>2026-01-31</v>
      </c>
    </row>
    <row r="76" spans="1:16" x14ac:dyDescent="0.2">
      <c r="A76" t="str" cm="1">
        <f t="array" ref="A76">_xlfn.LET(
    _xlpm.txt, B76,
    _xlpm.chars, MID(_xlpm.txt, _xlfn.SEQUENCE(LEN(_xlpm.txt)), 1),
    _xlpm.filtered, _xlfn._xlws.FILTER(_xlpm.chars, NOT(ISNUMBER(SEARCH(_xlpm.chars, "ABCDEFGHIJKLMNOPQRSTUVWXYZabcdefghijklmnopqrstuvwxyz")))),
    _xlfn.TEXTJOIN("",, _xlpm.filtered)
)</f>
        <v>000208</v>
      </c>
      <c r="B76" s="3" t="s">
        <v>419</v>
      </c>
      <c r="C76" s="3" t="s">
        <v>420</v>
      </c>
      <c r="D76" s="4">
        <v>380</v>
      </c>
      <c r="E76" s="3" t="s">
        <v>421</v>
      </c>
      <c r="F76" s="3" t="s">
        <v>422</v>
      </c>
      <c r="G76" s="3" t="s">
        <v>423</v>
      </c>
      <c r="H76" s="3" t="s">
        <v>19</v>
      </c>
      <c r="I76" s="3" t="s">
        <v>20</v>
      </c>
      <c r="J76" s="3" t="s">
        <v>214</v>
      </c>
      <c r="K76" s="3" t="s">
        <v>37</v>
      </c>
      <c r="L76" s="3" t="s">
        <v>23</v>
      </c>
      <c r="M76" s="3" t="s">
        <v>24</v>
      </c>
      <c r="N76" s="3" t="s">
        <v>25</v>
      </c>
      <c r="O76" t="str">
        <f>"2024-09-15"</f>
        <v>2024-09-15</v>
      </c>
      <c r="P76" t="str">
        <f>"2025-09-14"</f>
        <v>2025-09-14</v>
      </c>
    </row>
    <row r="77" spans="1:16" x14ac:dyDescent="0.2">
      <c r="A77" t="str" cm="1">
        <f t="array" ref="A77">_xlfn.LET(
    _xlpm.txt, B77,
    _xlpm.chars, MID(_xlpm.txt, _xlfn.SEQUENCE(LEN(_xlpm.txt)), 1),
    _xlpm.filtered, _xlfn._xlws.FILTER(_xlpm.chars, NOT(ISNUMBER(SEARCH(_xlpm.chars, "ABCDEFGHIJKLMNOPQRSTUVWXYZabcdefghijklmnopqrstuvwxyz")))),
    _xlfn.TEXTJOIN("",, _xlpm.filtered)
)</f>
        <v>000209</v>
      </c>
      <c r="B77" s="3" t="s">
        <v>424</v>
      </c>
      <c r="C77" s="3" t="s">
        <v>320</v>
      </c>
      <c r="D77" s="4">
        <v>180</v>
      </c>
      <c r="E77" s="3" t="s">
        <v>33</v>
      </c>
      <c r="F77" s="3" t="s">
        <v>425</v>
      </c>
      <c r="G77" s="3" t="s">
        <v>426</v>
      </c>
      <c r="H77" s="3" t="s">
        <v>19</v>
      </c>
      <c r="I77" s="3" t="s">
        <v>20</v>
      </c>
      <c r="J77" s="3" t="s">
        <v>85</v>
      </c>
      <c r="K77" s="3" t="s">
        <v>46</v>
      </c>
      <c r="L77" s="3" t="s">
        <v>38</v>
      </c>
      <c r="M77" s="3" t="s">
        <v>62</v>
      </c>
      <c r="N77" s="3" t="s">
        <v>25</v>
      </c>
      <c r="O77" t="str">
        <f>"2025-01-01"</f>
        <v>2025-01-01</v>
      </c>
      <c r="P77" t="str">
        <f>"2025-12-31"</f>
        <v>2025-12-31</v>
      </c>
    </row>
    <row r="78" spans="1:16" x14ac:dyDescent="0.2">
      <c r="A78" t="str" cm="1">
        <f t="array" ref="A78">_xlfn.LET(
    _xlpm.txt, B78,
    _xlpm.chars, MID(_xlpm.txt, _xlfn.SEQUENCE(LEN(_xlpm.txt)), 1),
    _xlpm.filtered, _xlfn._xlws.FILTER(_xlpm.chars, NOT(ISNUMBER(SEARCH(_xlpm.chars, "ABCDEFGHIJKLMNOPQRSTUVWXYZabcdefghijklmnopqrstuvwxyz")))),
    _xlfn.TEXTJOIN("",, _xlpm.filtered)
)</f>
        <v>000210</v>
      </c>
      <c r="B78" s="3" t="s">
        <v>427</v>
      </c>
      <c r="C78" s="3" t="s">
        <v>428</v>
      </c>
      <c r="D78" s="4">
        <v>200</v>
      </c>
      <c r="E78" s="3" t="s">
        <v>141</v>
      </c>
      <c r="F78" s="3" t="s">
        <v>429</v>
      </c>
      <c r="G78" s="3" t="s">
        <v>430</v>
      </c>
      <c r="H78" s="3" t="s">
        <v>19</v>
      </c>
      <c r="I78" s="3" t="s">
        <v>20</v>
      </c>
      <c r="J78" s="3" t="s">
        <v>60</v>
      </c>
      <c r="K78" s="3" t="s">
        <v>46</v>
      </c>
      <c r="L78" s="3" t="s">
        <v>38</v>
      </c>
      <c r="M78" s="3" t="s">
        <v>431</v>
      </c>
      <c r="N78" s="3" t="s">
        <v>25</v>
      </c>
      <c r="O78" t="str">
        <f>"2024-09-01"</f>
        <v>2024-09-01</v>
      </c>
      <c r="P78" t="str">
        <f>"2025-08-31"</f>
        <v>2025-08-31</v>
      </c>
    </row>
    <row r="79" spans="1:16" x14ac:dyDescent="0.2">
      <c r="A79" t="str" cm="1">
        <f t="array" ref="A79">_xlfn.LET(
    _xlpm.txt, B79,
    _xlpm.chars, MID(_xlpm.txt, _xlfn.SEQUENCE(LEN(_xlpm.txt)), 1),
    _xlpm.filtered, _xlfn._xlws.FILTER(_xlpm.chars, NOT(ISNUMBER(SEARCH(_xlpm.chars, "ABCDEFGHIJKLMNOPQRSTUVWXYZabcdefghijklmnopqrstuvwxyz")))),
    _xlfn.TEXTJOIN("",, _xlpm.filtered)
)</f>
        <v>000211</v>
      </c>
      <c r="B79" s="3" t="s">
        <v>432</v>
      </c>
      <c r="C79" s="3" t="s">
        <v>433</v>
      </c>
      <c r="D79" s="4">
        <v>400</v>
      </c>
      <c r="E79" s="3" t="s">
        <v>434</v>
      </c>
      <c r="F79" s="3" t="s">
        <v>33</v>
      </c>
      <c r="G79" s="3" t="s">
        <v>435</v>
      </c>
      <c r="H79" s="3" t="s">
        <v>19</v>
      </c>
      <c r="I79" s="3" t="s">
        <v>20</v>
      </c>
      <c r="J79" s="3" t="s">
        <v>119</v>
      </c>
      <c r="K79" s="3" t="s">
        <v>37</v>
      </c>
      <c r="L79" s="3" t="s">
        <v>23</v>
      </c>
      <c r="M79" s="3" t="s">
        <v>24</v>
      </c>
      <c r="N79" s="3" t="s">
        <v>25</v>
      </c>
      <c r="O79" t="str">
        <f>"2024-11-01"</f>
        <v>2024-11-01</v>
      </c>
      <c r="P79" t="str">
        <f>"2025-10-31"</f>
        <v>2025-10-31</v>
      </c>
    </row>
    <row r="80" spans="1:16" x14ac:dyDescent="0.2">
      <c r="A80" t="str" cm="1">
        <f t="array" ref="A80">_xlfn.LET(
    _xlpm.txt, B80,
    _xlpm.chars, MID(_xlpm.txt, _xlfn.SEQUENCE(LEN(_xlpm.txt)), 1),
    _xlpm.filtered, _xlfn._xlws.FILTER(_xlpm.chars, NOT(ISNUMBER(SEARCH(_xlpm.chars, "ABCDEFGHIJKLMNOPQRSTUVWXYZabcdefghijklmnopqrstuvwxyz")))),
    _xlfn.TEXTJOIN("",, _xlpm.filtered)
)</f>
        <v>000212</v>
      </c>
      <c r="B80" s="3" t="s">
        <v>437</v>
      </c>
      <c r="C80" s="3" t="s">
        <v>261</v>
      </c>
      <c r="D80" s="4">
        <v>300</v>
      </c>
      <c r="E80" s="3" t="s">
        <v>262</v>
      </c>
      <c r="F80" s="3" t="s">
        <v>438</v>
      </c>
      <c r="G80" s="3" t="s">
        <v>439</v>
      </c>
      <c r="H80" s="3" t="s">
        <v>19</v>
      </c>
      <c r="I80" s="3" t="s">
        <v>20</v>
      </c>
      <c r="J80" s="3" t="s">
        <v>21</v>
      </c>
      <c r="K80" s="3" t="s">
        <v>440</v>
      </c>
      <c r="L80" s="3" t="s">
        <v>38</v>
      </c>
      <c r="M80" s="3" t="s">
        <v>87</v>
      </c>
      <c r="N80" s="3" t="s">
        <v>25</v>
      </c>
      <c r="O80" t="str">
        <f>"2025-07-15"</f>
        <v>2025-07-15</v>
      </c>
      <c r="P80" t="str">
        <f>"2026-07-14"</f>
        <v>2026-07-14</v>
      </c>
    </row>
    <row r="81" spans="1:16" x14ac:dyDescent="0.2">
      <c r="A81" t="str" cm="1">
        <f t="array" ref="A81">_xlfn.LET(
    _xlpm.txt, B81,
    _xlpm.chars, MID(_xlpm.txt, _xlfn.SEQUENCE(LEN(_xlpm.txt)), 1),
    _xlpm.filtered, _xlfn._xlws.FILTER(_xlpm.chars, NOT(ISNUMBER(SEARCH(_xlpm.chars, "ABCDEFGHIJKLMNOPQRSTUVWXYZabcdefghijklmnopqrstuvwxyz")))),
    _xlfn.TEXTJOIN("",, _xlpm.filtered)
)</f>
        <v>000214</v>
      </c>
      <c r="B81" s="3" t="s">
        <v>441</v>
      </c>
      <c r="C81" s="3" t="s">
        <v>187</v>
      </c>
      <c r="D81" s="4">
        <v>1920</v>
      </c>
      <c r="E81" s="3" t="s">
        <v>188</v>
      </c>
      <c r="F81" s="3" t="s">
        <v>442</v>
      </c>
      <c r="G81" s="3" t="s">
        <v>443</v>
      </c>
      <c r="H81" s="3" t="s">
        <v>132</v>
      </c>
      <c r="I81" s="3" t="s">
        <v>20</v>
      </c>
      <c r="J81" s="3" t="s">
        <v>214</v>
      </c>
      <c r="K81" s="3" t="s">
        <v>444</v>
      </c>
      <c r="L81" s="3" t="s">
        <v>445</v>
      </c>
      <c r="M81" s="3" t="s">
        <v>24</v>
      </c>
      <c r="N81" s="3" t="s">
        <v>25</v>
      </c>
      <c r="O81" t="str">
        <f>"2025-01-01"</f>
        <v>2025-01-01</v>
      </c>
      <c r="P81" t="str">
        <f>"2026-12-31"</f>
        <v>2026-12-31</v>
      </c>
    </row>
    <row r="82" spans="1:16" x14ac:dyDescent="0.2">
      <c r="A82" t="str" cm="1">
        <f t="array" ref="A82">_xlfn.LET(
    _xlpm.txt, B82,
    _xlpm.chars, MID(_xlpm.txt, _xlfn.SEQUENCE(LEN(_xlpm.txt)), 1),
    _xlpm.filtered, _xlfn._xlws.FILTER(_xlpm.chars, NOT(ISNUMBER(SEARCH(_xlpm.chars, "ABCDEFGHIJKLMNOPQRSTUVWXYZabcdefghijklmnopqrstuvwxyz")))),
    _xlfn.TEXTJOIN("",, _xlpm.filtered)
)</f>
        <v>000215</v>
      </c>
      <c r="B82" s="3" t="s">
        <v>446</v>
      </c>
      <c r="C82" s="3" t="s">
        <v>140</v>
      </c>
      <c r="D82" s="4">
        <v>180</v>
      </c>
      <c r="E82" s="3" t="s">
        <v>141</v>
      </c>
      <c r="F82" s="3" t="s">
        <v>447</v>
      </c>
      <c r="G82" s="3" t="s">
        <v>448</v>
      </c>
      <c r="H82" s="3" t="s">
        <v>19</v>
      </c>
      <c r="I82" s="3" t="s">
        <v>20</v>
      </c>
      <c r="J82" s="3" t="s">
        <v>67</v>
      </c>
      <c r="K82" s="3" t="s">
        <v>46</v>
      </c>
      <c r="L82" s="3" t="s">
        <v>38</v>
      </c>
      <c r="M82" s="3" t="s">
        <v>48</v>
      </c>
      <c r="N82" s="3" t="s">
        <v>25</v>
      </c>
      <c r="O82" t="str">
        <f>"2024-08-01"</f>
        <v>2024-08-01</v>
      </c>
      <c r="P82" t="str">
        <f>"2025-07-31"</f>
        <v>2025-07-31</v>
      </c>
    </row>
    <row r="83" spans="1:16" x14ac:dyDescent="0.2">
      <c r="A83" t="str" cm="1">
        <f t="array" ref="A83">_xlfn.LET(
    _xlpm.txt, B83,
    _xlpm.chars, MID(_xlpm.txt, _xlfn.SEQUENCE(LEN(_xlpm.txt)), 1),
    _xlpm.filtered, _xlfn._xlws.FILTER(_xlpm.chars, NOT(ISNUMBER(SEARCH(_xlpm.chars, "ABCDEFGHIJKLMNOPQRSTUVWXYZabcdefghijklmnopqrstuvwxyz")))),
    _xlfn.TEXTJOIN("",, _xlpm.filtered)
)</f>
        <v>000216</v>
      </c>
      <c r="B83" s="3" t="s">
        <v>449</v>
      </c>
      <c r="C83" s="3" t="s">
        <v>407</v>
      </c>
      <c r="D83" s="4">
        <v>350</v>
      </c>
      <c r="E83" s="3" t="s">
        <v>450</v>
      </c>
      <c r="F83" s="3" t="s">
        <v>451</v>
      </c>
      <c r="G83" s="3" t="s">
        <v>452</v>
      </c>
      <c r="H83" s="3" t="s">
        <v>202</v>
      </c>
      <c r="I83" s="3" t="s">
        <v>20</v>
      </c>
      <c r="J83" s="3" t="s">
        <v>36</v>
      </c>
      <c r="K83" s="3" t="s">
        <v>46</v>
      </c>
      <c r="L83" s="3" t="s">
        <v>38</v>
      </c>
      <c r="M83" s="3" t="s">
        <v>48</v>
      </c>
      <c r="N83" s="3" t="s">
        <v>25</v>
      </c>
      <c r="O83" t="str">
        <f>"2025-02-05"</f>
        <v>2025-02-05</v>
      </c>
      <c r="P83" t="str">
        <f>"2026-02-04"</f>
        <v>2026-02-04</v>
      </c>
    </row>
    <row r="84" spans="1:16" x14ac:dyDescent="0.2">
      <c r="A84" t="str" cm="1">
        <f t="array" ref="A84">_xlfn.LET(
    _xlpm.txt, B84,
    _xlpm.chars, MID(_xlpm.txt, _xlfn.SEQUENCE(LEN(_xlpm.txt)), 1),
    _xlpm.filtered, _xlfn._xlws.FILTER(_xlpm.chars, NOT(ISNUMBER(SEARCH(_xlpm.chars, "ABCDEFGHIJKLMNOPQRSTUVWXYZabcdefghijklmnopqrstuvwxyz")))),
    _xlfn.TEXTJOIN("",, _xlpm.filtered)
)</f>
        <v>000217</v>
      </c>
      <c r="B84" s="3" t="s">
        <v>453</v>
      </c>
      <c r="C84" s="3" t="s">
        <v>454</v>
      </c>
      <c r="D84" s="4">
        <v>270</v>
      </c>
      <c r="E84" s="3" t="s">
        <v>455</v>
      </c>
      <c r="F84" s="3" t="s">
        <v>456</v>
      </c>
      <c r="G84" s="3" t="s">
        <v>457</v>
      </c>
      <c r="H84" s="3" t="s">
        <v>132</v>
      </c>
      <c r="I84" s="3" t="s">
        <v>20</v>
      </c>
      <c r="J84" s="3" t="s">
        <v>214</v>
      </c>
      <c r="K84" s="3" t="s">
        <v>33</v>
      </c>
      <c r="L84" s="3" t="s">
        <v>38</v>
      </c>
      <c r="M84" s="3" t="s">
        <v>458</v>
      </c>
      <c r="N84" s="3" t="s">
        <v>25</v>
      </c>
      <c r="O84" t="str">
        <f>"2025-04-01"</f>
        <v>2025-04-01</v>
      </c>
      <c r="P84" t="str">
        <f>"2026-03-31"</f>
        <v>2026-03-31</v>
      </c>
    </row>
    <row r="85" spans="1:16" x14ac:dyDescent="0.2">
      <c r="A85" t="str" cm="1">
        <f t="array" ref="A85">_xlfn.LET(
    _xlpm.txt, B85,
    _xlpm.chars, MID(_xlpm.txt, _xlfn.SEQUENCE(LEN(_xlpm.txt)), 1),
    _xlpm.filtered, _xlfn._xlws.FILTER(_xlpm.chars, NOT(ISNUMBER(SEARCH(_xlpm.chars, "ABCDEFGHIJKLMNOPQRSTUVWXYZabcdefghijklmnopqrstuvwxyz")))),
    _xlfn.TEXTJOIN("",, _xlpm.filtered)
)</f>
        <v>000218</v>
      </c>
      <c r="B85" s="3" t="s">
        <v>459</v>
      </c>
      <c r="C85" s="3" t="s">
        <v>460</v>
      </c>
      <c r="D85" s="4">
        <v>350</v>
      </c>
      <c r="E85" s="3" t="s">
        <v>461</v>
      </c>
      <c r="F85" s="3" t="s">
        <v>462</v>
      </c>
      <c r="G85" s="3" t="s">
        <v>463</v>
      </c>
      <c r="H85" s="3" t="s">
        <v>132</v>
      </c>
      <c r="I85" s="3" t="s">
        <v>20</v>
      </c>
      <c r="J85" s="3" t="s">
        <v>21</v>
      </c>
      <c r="K85" s="3" t="s">
        <v>78</v>
      </c>
      <c r="L85" s="3" t="s">
        <v>86</v>
      </c>
      <c r="M85" s="3" t="s">
        <v>87</v>
      </c>
      <c r="N85" s="3" t="s">
        <v>25</v>
      </c>
      <c r="O85" t="str">
        <f>"2025-01-01"</f>
        <v>2025-01-01</v>
      </c>
      <c r="P85" t="str">
        <f>"2025-12-31"</f>
        <v>2025-12-31</v>
      </c>
    </row>
    <row r="86" spans="1:16" x14ac:dyDescent="0.2">
      <c r="A86" t="str" cm="1">
        <f t="array" ref="A86">_xlfn.LET(
    _xlpm.txt, B86,
    _xlpm.chars, MID(_xlpm.txt, _xlfn.SEQUENCE(LEN(_xlpm.txt)), 1),
    _xlpm.filtered, _xlfn._xlws.FILTER(_xlpm.chars, NOT(ISNUMBER(SEARCH(_xlpm.chars, "ABCDEFGHIJKLMNOPQRSTUVWXYZabcdefghijklmnopqrstuvwxyz")))),
    _xlfn.TEXTJOIN("",, _xlpm.filtered)
)</f>
        <v>000219</v>
      </c>
      <c r="B86" s="3" t="s">
        <v>464</v>
      </c>
      <c r="C86" s="3" t="s">
        <v>465</v>
      </c>
      <c r="D86" s="4">
        <v>125</v>
      </c>
      <c r="E86" s="3" t="s">
        <v>466</v>
      </c>
      <c r="F86" s="3" t="s">
        <v>33</v>
      </c>
      <c r="G86" s="3" t="s">
        <v>467</v>
      </c>
      <c r="H86" s="3" t="s">
        <v>413</v>
      </c>
      <c r="I86" s="3" t="s">
        <v>20</v>
      </c>
      <c r="J86" s="3" t="s">
        <v>67</v>
      </c>
      <c r="K86" s="3" t="s">
        <v>196</v>
      </c>
      <c r="L86" s="3" t="s">
        <v>38</v>
      </c>
      <c r="M86" s="3" t="s">
        <v>48</v>
      </c>
      <c r="N86" s="3" t="s">
        <v>25</v>
      </c>
      <c r="O86" t="str">
        <f>"2025-07-01"</f>
        <v>2025-07-01</v>
      </c>
      <c r="P86" t="str">
        <f>"2026-06-30"</f>
        <v>2026-06-30</v>
      </c>
    </row>
    <row r="87" spans="1:16" x14ac:dyDescent="0.2">
      <c r="A87" t="str" cm="1">
        <f t="array" ref="A87">_xlfn.LET(
    _xlpm.txt, B87,
    _xlpm.chars, MID(_xlpm.txt, _xlfn.SEQUENCE(LEN(_xlpm.txt)), 1),
    _xlpm.filtered, _xlfn._xlws.FILTER(_xlpm.chars, NOT(ISNUMBER(SEARCH(_xlpm.chars, "ABCDEFGHIJKLMNOPQRSTUVWXYZabcdefghijklmnopqrstuvwxyz")))),
    _xlfn.TEXTJOIN("",, _xlpm.filtered)
)</f>
        <v>000220</v>
      </c>
      <c r="B87" s="3" t="s">
        <v>468</v>
      </c>
      <c r="C87" s="3" t="s">
        <v>465</v>
      </c>
      <c r="D87" s="4">
        <v>125</v>
      </c>
      <c r="E87" s="3" t="s">
        <v>466</v>
      </c>
      <c r="F87" s="3" t="s">
        <v>33</v>
      </c>
      <c r="G87" s="3" t="s">
        <v>469</v>
      </c>
      <c r="H87" s="3" t="s">
        <v>413</v>
      </c>
      <c r="I87" s="3" t="s">
        <v>33</v>
      </c>
      <c r="J87" s="3" t="s">
        <v>67</v>
      </c>
      <c r="K87" s="3" t="s">
        <v>37</v>
      </c>
      <c r="L87" s="3" t="s">
        <v>38</v>
      </c>
      <c r="M87" s="3" t="s">
        <v>48</v>
      </c>
      <c r="N87" s="3" t="s">
        <v>25</v>
      </c>
      <c r="O87" t="str">
        <f>"2025-07-01"</f>
        <v>2025-07-01</v>
      </c>
      <c r="P87" t="str">
        <f>"2026-06-30"</f>
        <v>2026-06-30</v>
      </c>
    </row>
    <row r="88" spans="1:16" x14ac:dyDescent="0.2">
      <c r="A88" t="str" cm="1">
        <f t="array" ref="A88">_xlfn.LET(
    _xlpm.txt, B88,
    _xlpm.chars, MID(_xlpm.txt, _xlfn.SEQUENCE(LEN(_xlpm.txt)), 1),
    _xlpm.filtered, _xlfn._xlws.FILTER(_xlpm.chars, NOT(ISNUMBER(SEARCH(_xlpm.chars, "ABCDEFGHIJKLMNOPQRSTUVWXYZabcdefghijklmnopqrstuvwxyz")))),
    _xlfn.TEXTJOIN("",, _xlpm.filtered)
)</f>
        <v>000221</v>
      </c>
      <c r="B88" s="3" t="s">
        <v>470</v>
      </c>
      <c r="C88" s="3" t="s">
        <v>471</v>
      </c>
      <c r="D88" s="4">
        <v>150</v>
      </c>
      <c r="E88" s="3" t="s">
        <v>472</v>
      </c>
      <c r="F88" s="3" t="s">
        <v>33</v>
      </c>
      <c r="G88" s="3" t="s">
        <v>473</v>
      </c>
      <c r="H88" s="3" t="s">
        <v>413</v>
      </c>
      <c r="I88" s="3" t="s">
        <v>20</v>
      </c>
      <c r="J88" s="3" t="s">
        <v>36</v>
      </c>
      <c r="K88" s="3" t="s">
        <v>37</v>
      </c>
      <c r="L88" s="3" t="s">
        <v>38</v>
      </c>
      <c r="M88" s="3" t="s">
        <v>164</v>
      </c>
      <c r="N88" s="3" t="s">
        <v>25</v>
      </c>
      <c r="O88" t="str">
        <f>"2024-11-01"</f>
        <v>2024-11-01</v>
      </c>
      <c r="P88" t="str">
        <f>"2025-10-31"</f>
        <v>2025-10-31</v>
      </c>
    </row>
    <row r="89" spans="1:16" x14ac:dyDescent="0.2">
      <c r="A89" t="str" cm="1">
        <f t="array" ref="A89">_xlfn.LET(
    _xlpm.txt, B89,
    _xlpm.chars, MID(_xlpm.txt, _xlfn.SEQUENCE(LEN(_xlpm.txt)), 1),
    _xlpm.filtered, _xlfn._xlws.FILTER(_xlpm.chars, NOT(ISNUMBER(SEARCH(_xlpm.chars, "ABCDEFGHIJKLMNOPQRSTUVWXYZabcdefghijklmnopqrstuvwxyz")))),
    _xlfn.TEXTJOIN("",, _xlpm.filtered)
)</f>
        <v>000222</v>
      </c>
      <c r="B89" s="3" t="s">
        <v>474</v>
      </c>
      <c r="C89" s="3" t="s">
        <v>475</v>
      </c>
      <c r="D89" s="4">
        <v>160</v>
      </c>
      <c r="E89" s="3" t="s">
        <v>476</v>
      </c>
      <c r="F89" s="3" t="s">
        <v>33</v>
      </c>
      <c r="G89" s="3" t="s">
        <v>477</v>
      </c>
      <c r="H89" s="3" t="s">
        <v>98</v>
      </c>
      <c r="I89" s="3" t="s">
        <v>20</v>
      </c>
      <c r="J89" s="3" t="s">
        <v>67</v>
      </c>
      <c r="K89" s="3" t="s">
        <v>196</v>
      </c>
      <c r="L89" s="3" t="s">
        <v>23</v>
      </c>
      <c r="M89" s="3" t="s">
        <v>478</v>
      </c>
      <c r="N89" s="3" t="s">
        <v>25</v>
      </c>
      <c r="O89" t="str">
        <f>"2025-06-20"</f>
        <v>2025-06-20</v>
      </c>
      <c r="P89" t="str">
        <f>"2026-06-19"</f>
        <v>2026-06-19</v>
      </c>
    </row>
    <row r="90" spans="1:16" x14ac:dyDescent="0.2">
      <c r="A90" t="str" cm="1">
        <f t="array" ref="A90">_xlfn.LET(
    _xlpm.txt, B90,
    _xlpm.chars, MID(_xlpm.txt, _xlfn.SEQUENCE(LEN(_xlpm.txt)), 1),
    _xlpm.filtered, _xlfn._xlws.FILTER(_xlpm.chars, NOT(ISNUMBER(SEARCH(_xlpm.chars, "ABCDEFGHIJKLMNOPQRSTUVWXYZabcdefghijklmnopqrstuvwxyz")))),
    _xlfn.TEXTJOIN("",, _xlpm.filtered)
)</f>
        <v>000224</v>
      </c>
      <c r="B90" s="3" t="s">
        <v>479</v>
      </c>
      <c r="C90" s="3" t="s">
        <v>480</v>
      </c>
      <c r="D90" s="4">
        <v>180</v>
      </c>
      <c r="E90" s="3" t="s">
        <v>481</v>
      </c>
      <c r="F90" s="3" t="s">
        <v>33</v>
      </c>
      <c r="G90" s="3" t="s">
        <v>482</v>
      </c>
      <c r="H90" s="3" t="s">
        <v>302</v>
      </c>
      <c r="I90" s="3" t="s">
        <v>20</v>
      </c>
      <c r="J90" s="3" t="s">
        <v>60</v>
      </c>
      <c r="K90" s="3" t="s">
        <v>33</v>
      </c>
      <c r="L90" s="3" t="s">
        <v>38</v>
      </c>
      <c r="M90" s="3" t="s">
        <v>33</v>
      </c>
      <c r="N90" s="3" t="s">
        <v>25</v>
      </c>
      <c r="O90" t="str">
        <f>"2025-09-15"</f>
        <v>2025-09-15</v>
      </c>
      <c r="P90" t="str">
        <f>"2026-09-14"</f>
        <v>2026-09-14</v>
      </c>
    </row>
    <row r="91" spans="1:16" x14ac:dyDescent="0.2">
      <c r="A91" t="str" cm="1">
        <f t="array" ref="A91">_xlfn.LET(
    _xlpm.txt, B91,
    _xlpm.chars, MID(_xlpm.txt, _xlfn.SEQUENCE(LEN(_xlpm.txt)), 1),
    _xlpm.filtered, _xlfn._xlws.FILTER(_xlpm.chars, NOT(ISNUMBER(SEARCH(_xlpm.chars, "ABCDEFGHIJKLMNOPQRSTUVWXYZabcdefghijklmnopqrstuvwxyz")))),
    _xlfn.TEXTJOIN("",, _xlpm.filtered)
)</f>
        <v>000225</v>
      </c>
      <c r="B91" s="3" t="s">
        <v>483</v>
      </c>
      <c r="C91" s="3" t="s">
        <v>484</v>
      </c>
      <c r="D91" s="4">
        <v>200</v>
      </c>
      <c r="E91" s="3" t="s">
        <v>485</v>
      </c>
      <c r="F91" s="3" t="s">
        <v>33</v>
      </c>
      <c r="G91" s="3" t="s">
        <v>486</v>
      </c>
      <c r="H91" s="3" t="s">
        <v>487</v>
      </c>
      <c r="I91" s="3" t="s">
        <v>20</v>
      </c>
      <c r="J91" s="3" t="s">
        <v>36</v>
      </c>
      <c r="K91" s="3" t="s">
        <v>488</v>
      </c>
      <c r="L91" s="3" t="s">
        <v>38</v>
      </c>
      <c r="M91" s="3" t="s">
        <v>62</v>
      </c>
      <c r="N91" s="3" t="s">
        <v>273</v>
      </c>
      <c r="O91" t="str">
        <f>"2024-11-01"</f>
        <v>2024-11-01</v>
      </c>
      <c r="P91" t="str">
        <f>"2025-10-31"</f>
        <v>2025-10-31</v>
      </c>
    </row>
    <row r="92" spans="1:16" x14ac:dyDescent="0.2">
      <c r="A92" t="str" cm="1">
        <f t="array" ref="A92">_xlfn.LET(
    _xlpm.txt, B92,
    _xlpm.chars, MID(_xlpm.txt, _xlfn.SEQUENCE(LEN(_xlpm.txt)), 1),
    _xlpm.filtered, _xlfn._xlws.FILTER(_xlpm.chars, NOT(ISNUMBER(SEARCH(_xlpm.chars, "ABCDEFGHIJKLMNOPQRSTUVWXYZabcdefghijklmnopqrstuvwxyz")))),
    _xlfn.TEXTJOIN("",, _xlpm.filtered)
)</f>
        <v>000226</v>
      </c>
      <c r="B92" s="3" t="s">
        <v>489</v>
      </c>
      <c r="C92" s="3" t="s">
        <v>490</v>
      </c>
      <c r="D92" s="4">
        <v>225</v>
      </c>
      <c r="E92" s="3" t="s">
        <v>491</v>
      </c>
      <c r="F92" s="3" t="s">
        <v>33</v>
      </c>
      <c r="G92" s="3" t="s">
        <v>492</v>
      </c>
      <c r="H92" s="3" t="s">
        <v>294</v>
      </c>
      <c r="I92" s="3" t="s">
        <v>20</v>
      </c>
      <c r="J92" s="3" t="s">
        <v>60</v>
      </c>
      <c r="K92" s="3" t="s">
        <v>295</v>
      </c>
      <c r="L92" s="3" t="s">
        <v>296</v>
      </c>
      <c r="M92" s="3" t="s">
        <v>297</v>
      </c>
      <c r="N92" s="3" t="s">
        <v>25</v>
      </c>
      <c r="O92" t="str">
        <f>"2024-08-01"</f>
        <v>2024-08-01</v>
      </c>
      <c r="P92" t="str">
        <f>"2025-07-31"</f>
        <v>2025-07-31</v>
      </c>
    </row>
    <row r="93" spans="1:16" x14ac:dyDescent="0.2">
      <c r="A93" t="str" cm="1">
        <f t="array" ref="A93">_xlfn.LET(
    _xlpm.txt, B93,
    _xlpm.chars, MID(_xlpm.txt, _xlfn.SEQUENCE(LEN(_xlpm.txt)), 1),
    _xlpm.filtered, _xlfn._xlws.FILTER(_xlpm.chars, NOT(ISNUMBER(SEARCH(_xlpm.chars, "ABCDEFGHIJKLMNOPQRSTUVWXYZabcdefghijklmnopqrstuvwxyz")))),
    _xlfn.TEXTJOIN("",, _xlpm.filtered)
)</f>
        <v>000228</v>
      </c>
      <c r="B93" s="3" t="s">
        <v>493</v>
      </c>
      <c r="C93" s="3" t="s">
        <v>121</v>
      </c>
      <c r="D93" s="4">
        <v>360</v>
      </c>
      <c r="E93" s="3" t="s">
        <v>122</v>
      </c>
      <c r="F93" s="3" t="s">
        <v>494</v>
      </c>
      <c r="G93" s="3" t="s">
        <v>495</v>
      </c>
      <c r="H93" s="3" t="s">
        <v>59</v>
      </c>
      <c r="I93" s="3" t="s">
        <v>20</v>
      </c>
      <c r="J93" s="3" t="s">
        <v>119</v>
      </c>
      <c r="K93" s="3" t="s">
        <v>156</v>
      </c>
      <c r="L93" s="3" t="s">
        <v>156</v>
      </c>
      <c r="M93" s="3" t="s">
        <v>156</v>
      </c>
      <c r="N93" s="3" t="s">
        <v>25</v>
      </c>
      <c r="O93" t="str">
        <f>"2025-07-01"</f>
        <v>2025-07-01</v>
      </c>
      <c r="P93" t="str">
        <f>"2026-06-30"</f>
        <v>2026-06-30</v>
      </c>
    </row>
    <row r="94" spans="1:16" x14ac:dyDescent="0.2">
      <c r="A94" t="str" cm="1">
        <f t="array" ref="A94">_xlfn.LET(
    _xlpm.txt, B94,
    _xlpm.chars, MID(_xlpm.txt, _xlfn.SEQUENCE(LEN(_xlpm.txt)), 1),
    _xlpm.filtered, _xlfn._xlws.FILTER(_xlpm.chars, NOT(ISNUMBER(SEARCH(_xlpm.chars, "ABCDEFGHIJKLMNOPQRSTUVWXYZabcdefghijklmnopqrstuvwxyz")))),
    _xlfn.TEXTJOIN("",, _xlpm.filtered)
)</f>
        <v>000230</v>
      </c>
      <c r="B94" s="3" t="s">
        <v>496</v>
      </c>
      <c r="C94" s="3" t="s">
        <v>261</v>
      </c>
      <c r="D94" s="4">
        <v>150</v>
      </c>
      <c r="E94" s="3" t="s">
        <v>262</v>
      </c>
      <c r="F94" s="3" t="s">
        <v>497</v>
      </c>
      <c r="G94" s="3" t="s">
        <v>498</v>
      </c>
      <c r="H94" s="3" t="s">
        <v>487</v>
      </c>
      <c r="I94" s="3" t="s">
        <v>33</v>
      </c>
      <c r="J94" s="3" t="s">
        <v>67</v>
      </c>
      <c r="K94" s="3" t="s">
        <v>46</v>
      </c>
      <c r="L94" s="3" t="s">
        <v>499</v>
      </c>
      <c r="M94" s="3" t="s">
        <v>499</v>
      </c>
      <c r="N94" s="3" t="s">
        <v>25</v>
      </c>
      <c r="O94" t="str">
        <f>"2025-07-15"</f>
        <v>2025-07-15</v>
      </c>
      <c r="P94" t="str">
        <f>"2026-07-14"</f>
        <v>2026-07-14</v>
      </c>
    </row>
    <row r="95" spans="1:16" x14ac:dyDescent="0.2">
      <c r="A95" t="str" cm="1">
        <f t="array" ref="A95">_xlfn.LET(
    _xlpm.txt, B95,
    _xlpm.chars, MID(_xlpm.txt, _xlfn.SEQUENCE(LEN(_xlpm.txt)), 1),
    _xlpm.filtered, _xlfn._xlws.FILTER(_xlpm.chars, NOT(ISNUMBER(SEARCH(_xlpm.chars, "ABCDEFGHIJKLMNOPQRSTUVWXYZabcdefghijklmnopqrstuvwxyz")))),
    _xlfn.TEXTJOIN("",, _xlpm.filtered)
)</f>
        <v>000231</v>
      </c>
      <c r="B95" s="3" t="s">
        <v>500</v>
      </c>
      <c r="C95" s="3" t="s">
        <v>501</v>
      </c>
      <c r="D95" s="4">
        <v>400</v>
      </c>
      <c r="E95" s="3" t="s">
        <v>502</v>
      </c>
      <c r="F95" s="3" t="s">
        <v>503</v>
      </c>
      <c r="G95" s="3" t="s">
        <v>504</v>
      </c>
      <c r="H95" s="3" t="s">
        <v>155</v>
      </c>
      <c r="I95" s="3" t="s">
        <v>20</v>
      </c>
      <c r="J95" s="3" t="s">
        <v>73</v>
      </c>
      <c r="K95" s="3" t="s">
        <v>61</v>
      </c>
      <c r="L95" s="3" t="s">
        <v>38</v>
      </c>
      <c r="M95" s="3" t="s">
        <v>48</v>
      </c>
      <c r="N95" s="3" t="s">
        <v>25</v>
      </c>
      <c r="O95" t="str">
        <f>"2025-01-01"</f>
        <v>2025-01-01</v>
      </c>
      <c r="P95" t="str">
        <f>"2025-12-31"</f>
        <v>2025-12-31</v>
      </c>
    </row>
    <row r="96" spans="1:16" x14ac:dyDescent="0.2">
      <c r="A96" t="str" cm="1">
        <f t="array" ref="A96">_xlfn.LET(
    _xlpm.txt, B96,
    _xlpm.chars, MID(_xlpm.txt, _xlfn.SEQUENCE(LEN(_xlpm.txt)), 1),
    _xlpm.filtered, _xlfn._xlws.FILTER(_xlpm.chars, NOT(ISNUMBER(SEARCH(_xlpm.chars, "ABCDEFGHIJKLMNOPQRSTUVWXYZabcdefghijklmnopqrstuvwxyz")))),
    _xlfn.TEXTJOIN("",, _xlpm.filtered)
)</f>
        <v>000232</v>
      </c>
      <c r="B96" s="3" t="s">
        <v>505</v>
      </c>
      <c r="C96" s="3" t="s">
        <v>506</v>
      </c>
      <c r="D96" s="4">
        <v>250</v>
      </c>
      <c r="E96" s="3" t="s">
        <v>129</v>
      </c>
      <c r="F96" s="3" t="s">
        <v>507</v>
      </c>
      <c r="G96" s="3" t="s">
        <v>508</v>
      </c>
      <c r="H96" s="3" t="s">
        <v>509</v>
      </c>
      <c r="I96" s="3" t="s">
        <v>20</v>
      </c>
      <c r="J96" s="3" t="s">
        <v>511</v>
      </c>
      <c r="K96" s="3" t="s">
        <v>163</v>
      </c>
      <c r="L96" s="3" t="s">
        <v>512</v>
      </c>
      <c r="M96" s="3" t="s">
        <v>513</v>
      </c>
      <c r="N96" s="3" t="s">
        <v>273</v>
      </c>
      <c r="O96" t="str">
        <f>"2025-08-01"</f>
        <v>2025-08-01</v>
      </c>
      <c r="P96" t="str">
        <f>"2026-07-31"</f>
        <v>2026-07-31</v>
      </c>
    </row>
    <row r="97" spans="1:16" x14ac:dyDescent="0.2">
      <c r="A97" t="str" cm="1">
        <f t="array" ref="A97">_xlfn.LET(
    _xlpm.txt, B97,
    _xlpm.chars, MID(_xlpm.txt, _xlfn.SEQUENCE(LEN(_xlpm.txt)), 1),
    _xlpm.filtered, _xlfn._xlws.FILTER(_xlpm.chars, NOT(ISNUMBER(SEARCH(_xlpm.chars, "ABCDEFGHIJKLMNOPQRSTUVWXYZabcdefghijklmnopqrstuvwxyz")))),
    _xlfn.TEXTJOIN("",, _xlpm.filtered)
)</f>
        <v>000233</v>
      </c>
      <c r="B97" s="3" t="s">
        <v>514</v>
      </c>
      <c r="C97" s="3" t="s">
        <v>515</v>
      </c>
      <c r="D97" s="4">
        <v>0</v>
      </c>
      <c r="E97" s="3" t="s">
        <v>227</v>
      </c>
      <c r="F97" s="3" t="s">
        <v>33</v>
      </c>
      <c r="G97" s="3" t="s">
        <v>516</v>
      </c>
      <c r="H97" s="3" t="s">
        <v>105</v>
      </c>
      <c r="I97" s="3" t="s">
        <v>20</v>
      </c>
      <c r="J97" s="3" t="s">
        <v>36</v>
      </c>
      <c r="K97" s="3" t="s">
        <v>517</v>
      </c>
      <c r="L97" s="3" t="s">
        <v>518</v>
      </c>
      <c r="M97" s="3" t="s">
        <v>518</v>
      </c>
      <c r="N97" s="3" t="s">
        <v>273</v>
      </c>
      <c r="O97" t="str">
        <f>"2023-03-10"</f>
        <v>2023-03-10</v>
      </c>
      <c r="P97" t="str">
        <f>"2024-03-09"</f>
        <v>2024-03-09</v>
      </c>
    </row>
    <row r="98" spans="1:16" x14ac:dyDescent="0.2">
      <c r="A98" t="str" cm="1">
        <f t="array" ref="A98">_xlfn.LET(
    _xlpm.txt, B98,
    _xlpm.chars, MID(_xlpm.txt, _xlfn.SEQUENCE(LEN(_xlpm.txt)), 1),
    _xlpm.filtered, _xlfn._xlws.FILTER(_xlpm.chars, NOT(ISNUMBER(SEARCH(_xlpm.chars, "ABCDEFGHIJKLMNOPQRSTUVWXYZabcdefghijklmnopqrstuvwxyz")))),
    _xlfn.TEXTJOIN("",, _xlpm.filtered)
)</f>
        <v>000234</v>
      </c>
      <c r="B98" s="3" t="s">
        <v>519</v>
      </c>
      <c r="C98" s="3" t="s">
        <v>520</v>
      </c>
      <c r="D98" s="4">
        <v>200</v>
      </c>
      <c r="E98" s="3" t="s">
        <v>227</v>
      </c>
      <c r="F98" s="3" t="s">
        <v>33</v>
      </c>
      <c r="G98" s="3" t="s">
        <v>521</v>
      </c>
      <c r="H98" s="3" t="s">
        <v>105</v>
      </c>
      <c r="I98" s="3" t="s">
        <v>20</v>
      </c>
      <c r="J98" s="3" t="s">
        <v>36</v>
      </c>
      <c r="K98" s="3" t="s">
        <v>37</v>
      </c>
      <c r="L98" s="3" t="s">
        <v>518</v>
      </c>
      <c r="M98" s="3" t="s">
        <v>518</v>
      </c>
      <c r="N98" s="3" t="s">
        <v>273</v>
      </c>
      <c r="O98" t="str">
        <f>"2024-03-10"</f>
        <v>2024-03-10</v>
      </c>
      <c r="P98" t="str">
        <f>"2025-03-09"</f>
        <v>2025-03-09</v>
      </c>
    </row>
    <row r="99" spans="1:16" x14ac:dyDescent="0.2">
      <c r="A99" t="str" cm="1">
        <f t="array" ref="A99">_xlfn.LET(
    _xlpm.txt, B99,
    _xlpm.chars, MID(_xlpm.txt, _xlfn.SEQUENCE(LEN(_xlpm.txt)), 1),
    _xlpm.filtered, _xlfn._xlws.FILTER(_xlpm.chars, NOT(ISNUMBER(SEARCH(_xlpm.chars, "ABCDEFGHIJKLMNOPQRSTUVWXYZabcdefghijklmnopqrstuvwxyz")))),
    _xlfn.TEXTJOIN("",, _xlpm.filtered)
)</f>
        <v>000235</v>
      </c>
      <c r="B99" s="3" t="s">
        <v>522</v>
      </c>
      <c r="C99" s="3" t="s">
        <v>523</v>
      </c>
      <c r="D99" s="4">
        <v>100</v>
      </c>
      <c r="E99" s="3" t="s">
        <v>227</v>
      </c>
      <c r="F99" s="3" t="s">
        <v>33</v>
      </c>
      <c r="G99" s="3" t="s">
        <v>524</v>
      </c>
      <c r="H99" s="3" t="s">
        <v>105</v>
      </c>
      <c r="I99" s="3" t="s">
        <v>20</v>
      </c>
      <c r="J99" s="3" t="s">
        <v>36</v>
      </c>
      <c r="K99" s="3" t="s">
        <v>37</v>
      </c>
      <c r="L99" s="3" t="s">
        <v>518</v>
      </c>
      <c r="M99" s="3" t="s">
        <v>518</v>
      </c>
      <c r="N99" s="3" t="s">
        <v>273</v>
      </c>
      <c r="O99" t="str">
        <f>"2024-03-10"</f>
        <v>2024-03-10</v>
      </c>
      <c r="P99" t="str">
        <f>"2025-03-09"</f>
        <v>2025-03-09</v>
      </c>
    </row>
    <row r="100" spans="1:16" x14ac:dyDescent="0.2">
      <c r="A100" t="str" cm="1">
        <f t="array" ref="A100">_xlfn.LET(
    _xlpm.txt, B100,
    _xlpm.chars, MID(_xlpm.txt, _xlfn.SEQUENCE(LEN(_xlpm.txt)), 1),
    _xlpm.filtered, _xlfn._xlws.FILTER(_xlpm.chars, NOT(ISNUMBER(SEARCH(_xlpm.chars, "ABCDEFGHIJKLMNOPQRSTUVWXYZabcdefghijklmnopqrstuvwxyz")))),
    _xlfn.TEXTJOIN("",, _xlpm.filtered)
)</f>
        <v>000236</v>
      </c>
      <c r="B100" s="3" t="s">
        <v>525</v>
      </c>
      <c r="C100" s="3" t="s">
        <v>526</v>
      </c>
      <c r="D100" s="4">
        <v>100</v>
      </c>
      <c r="E100" s="3" t="s">
        <v>227</v>
      </c>
      <c r="F100" s="3" t="s">
        <v>33</v>
      </c>
      <c r="G100" s="3" t="s">
        <v>527</v>
      </c>
      <c r="H100" s="3" t="s">
        <v>105</v>
      </c>
      <c r="I100" s="3" t="s">
        <v>20</v>
      </c>
      <c r="J100" s="3" t="s">
        <v>36</v>
      </c>
      <c r="K100" s="3" t="s">
        <v>37</v>
      </c>
      <c r="L100" s="3" t="s">
        <v>518</v>
      </c>
      <c r="M100" s="3" t="s">
        <v>518</v>
      </c>
      <c r="N100" s="3" t="s">
        <v>273</v>
      </c>
      <c r="O100" t="str">
        <f>"2024-03-10"</f>
        <v>2024-03-10</v>
      </c>
      <c r="P100" t="str">
        <f>"2025-03-09"</f>
        <v>2025-03-09</v>
      </c>
    </row>
    <row r="101" spans="1:16" x14ac:dyDescent="0.2">
      <c r="A101" t="str" cm="1">
        <f t="array" ref="A101">_xlfn.LET(
    _xlpm.txt, B101,
    _xlpm.chars, MID(_xlpm.txt, _xlfn.SEQUENCE(LEN(_xlpm.txt)), 1),
    _xlpm.filtered, _xlfn._xlws.FILTER(_xlpm.chars, NOT(ISNUMBER(SEARCH(_xlpm.chars, "ABCDEFGHIJKLMNOPQRSTUVWXYZabcdefghijklmnopqrstuvwxyz")))),
    _xlfn.TEXTJOIN("",, _xlpm.filtered)
)</f>
        <v>000237</v>
      </c>
      <c r="B101" s="3" t="s">
        <v>528</v>
      </c>
      <c r="C101" s="3" t="s">
        <v>529</v>
      </c>
      <c r="D101" s="4">
        <v>100</v>
      </c>
      <c r="E101" s="3" t="s">
        <v>227</v>
      </c>
      <c r="F101" s="3" t="s">
        <v>33</v>
      </c>
      <c r="G101" s="3" t="s">
        <v>530</v>
      </c>
      <c r="H101" s="3" t="s">
        <v>105</v>
      </c>
      <c r="I101" s="3" t="s">
        <v>20</v>
      </c>
      <c r="J101" s="3" t="s">
        <v>36</v>
      </c>
      <c r="K101" s="3" t="s">
        <v>37</v>
      </c>
      <c r="L101" s="3" t="s">
        <v>518</v>
      </c>
      <c r="M101" s="3" t="s">
        <v>518</v>
      </c>
      <c r="N101" s="3" t="s">
        <v>273</v>
      </c>
      <c r="O101" t="str">
        <f>"2024-03-10"</f>
        <v>2024-03-10</v>
      </c>
      <c r="P101" t="str">
        <f>"2025-03-09"</f>
        <v>2025-03-09</v>
      </c>
    </row>
    <row r="102" spans="1:16" x14ac:dyDescent="0.2">
      <c r="A102" t="str" cm="1">
        <f t="array" ref="A102">_xlfn.LET(
    _xlpm.txt, B102,
    _xlpm.chars, MID(_xlpm.txt, _xlfn.SEQUENCE(LEN(_xlpm.txt)), 1),
    _xlpm.filtered, _xlfn._xlws.FILTER(_xlpm.chars, NOT(ISNUMBER(SEARCH(_xlpm.chars, "ABCDEFGHIJKLMNOPQRSTUVWXYZabcdefghijklmnopqrstuvwxyz")))),
    _xlfn.TEXTJOIN("",, _xlpm.filtered)
)</f>
        <v>000238</v>
      </c>
      <c r="B102" s="3" t="s">
        <v>531</v>
      </c>
      <c r="C102" s="3" t="s">
        <v>532</v>
      </c>
      <c r="D102" s="4">
        <v>100</v>
      </c>
      <c r="E102" s="3" t="s">
        <v>227</v>
      </c>
      <c r="F102" s="3" t="s">
        <v>33</v>
      </c>
      <c r="G102" s="3" t="s">
        <v>533</v>
      </c>
      <c r="H102" s="3" t="s">
        <v>105</v>
      </c>
      <c r="I102" s="3" t="s">
        <v>20</v>
      </c>
      <c r="J102" s="3" t="s">
        <v>36</v>
      </c>
      <c r="K102" s="3" t="s">
        <v>37</v>
      </c>
      <c r="L102" s="3" t="s">
        <v>518</v>
      </c>
      <c r="M102" s="3" t="s">
        <v>518</v>
      </c>
      <c r="N102" s="3" t="s">
        <v>273</v>
      </c>
      <c r="O102" t="str">
        <f>"2024-03-10"</f>
        <v>2024-03-10</v>
      </c>
      <c r="P102" t="str">
        <f>"2025-03-09"</f>
        <v>2025-03-09</v>
      </c>
    </row>
    <row r="103" spans="1:16" x14ac:dyDescent="0.2">
      <c r="A103" t="str" cm="1">
        <f t="array" ref="A103">_xlfn.LET(
    _xlpm.txt, B103,
    _xlpm.chars, MID(_xlpm.txt, _xlfn.SEQUENCE(LEN(_xlpm.txt)), 1),
    _xlpm.filtered, _xlfn._xlws.FILTER(_xlpm.chars, NOT(ISNUMBER(SEARCH(_xlpm.chars, "ABCDEFGHIJKLMNOPQRSTUVWXYZabcdefghijklmnopqrstuvwxyz")))),
    _xlfn.TEXTJOIN("",, _xlpm.filtered)
)</f>
        <v>000239</v>
      </c>
      <c r="B103" s="3" t="s">
        <v>534</v>
      </c>
      <c r="C103" s="3" t="s">
        <v>535</v>
      </c>
      <c r="D103" s="4">
        <v>180</v>
      </c>
      <c r="E103" s="3" t="s">
        <v>536</v>
      </c>
      <c r="F103" s="3" t="s">
        <v>537</v>
      </c>
      <c r="G103" s="3" t="s">
        <v>538</v>
      </c>
      <c r="H103" s="3" t="s">
        <v>487</v>
      </c>
      <c r="I103" s="3" t="s">
        <v>20</v>
      </c>
      <c r="J103" s="3" t="s">
        <v>60</v>
      </c>
      <c r="K103" s="3" t="s">
        <v>37</v>
      </c>
      <c r="L103" s="3" t="s">
        <v>138</v>
      </c>
      <c r="M103" s="3" t="s">
        <v>87</v>
      </c>
      <c r="N103" s="3" t="s">
        <v>25</v>
      </c>
      <c r="O103" t="str">
        <f>"2025-01-01"</f>
        <v>2025-01-01</v>
      </c>
      <c r="P103" t="str">
        <f>"2025-12-31"</f>
        <v>2025-12-31</v>
      </c>
    </row>
    <row r="104" spans="1:16" x14ac:dyDescent="0.2">
      <c r="A104" t="str" cm="1">
        <f t="array" ref="A104">_xlfn.LET(
    _xlpm.txt, B104,
    _xlpm.chars, MID(_xlpm.txt, _xlfn.SEQUENCE(LEN(_xlpm.txt)), 1),
    _xlpm.filtered, _xlfn._xlws.FILTER(_xlpm.chars, NOT(ISNUMBER(SEARCH(_xlpm.chars, "ABCDEFGHIJKLMNOPQRSTUVWXYZabcdefghijklmnopqrstuvwxyz")))),
    _xlfn.TEXTJOIN("",, _xlpm.filtered)
)</f>
        <v>000240</v>
      </c>
      <c r="B104" s="3" t="s">
        <v>539</v>
      </c>
      <c r="C104" s="3" t="s">
        <v>540</v>
      </c>
      <c r="D104" s="4">
        <v>100</v>
      </c>
      <c r="E104" s="3" t="s">
        <v>227</v>
      </c>
      <c r="F104" s="3" t="s">
        <v>33</v>
      </c>
      <c r="G104" s="3" t="s">
        <v>541</v>
      </c>
      <c r="H104" s="3" t="s">
        <v>105</v>
      </c>
      <c r="I104" s="3" t="s">
        <v>33</v>
      </c>
      <c r="J104" s="3" t="s">
        <v>36</v>
      </c>
      <c r="K104" s="3" t="s">
        <v>37</v>
      </c>
      <c r="L104" s="3" t="s">
        <v>518</v>
      </c>
      <c r="M104" s="3" t="s">
        <v>518</v>
      </c>
      <c r="N104" s="3" t="s">
        <v>273</v>
      </c>
      <c r="O104" t="str">
        <f>"2025-03-10"</f>
        <v>2025-03-10</v>
      </c>
      <c r="P104" t="str">
        <f>"2026-03-09"</f>
        <v>2026-03-09</v>
      </c>
    </row>
    <row r="105" spans="1:16" x14ac:dyDescent="0.2">
      <c r="A105" t="str" cm="1">
        <f t="array" ref="A105">_xlfn.LET(
    _xlpm.txt, B105,
    _xlpm.chars, MID(_xlpm.txt, _xlfn.SEQUENCE(LEN(_xlpm.txt)), 1),
    _xlpm.filtered, _xlfn._xlws.FILTER(_xlpm.chars, NOT(ISNUMBER(SEARCH(_xlpm.chars, "ABCDEFGHIJKLMNOPQRSTUVWXYZabcdefghijklmnopqrstuvwxyz")))),
    _xlfn.TEXTJOIN("",, _xlpm.filtered)
)</f>
        <v>000242</v>
      </c>
      <c r="B105" s="3" t="s">
        <v>542</v>
      </c>
      <c r="C105" s="3" t="s">
        <v>543</v>
      </c>
      <c r="D105" s="4">
        <v>180</v>
      </c>
      <c r="E105" s="3" t="s">
        <v>536</v>
      </c>
      <c r="F105" s="3" t="s">
        <v>544</v>
      </c>
      <c r="G105" s="3" t="s">
        <v>545</v>
      </c>
      <c r="H105" s="3" t="s">
        <v>302</v>
      </c>
      <c r="I105" s="3" t="s">
        <v>20</v>
      </c>
      <c r="J105" s="3" t="s">
        <v>73</v>
      </c>
      <c r="K105" s="3" t="s">
        <v>61</v>
      </c>
      <c r="L105" s="3" t="s">
        <v>174</v>
      </c>
      <c r="M105" s="3" t="s">
        <v>164</v>
      </c>
      <c r="N105" s="3" t="s">
        <v>25</v>
      </c>
      <c r="O105" t="str">
        <f>"2025-01-01"</f>
        <v>2025-01-01</v>
      </c>
      <c r="P105" t="str">
        <f>"2025-12-31"</f>
        <v>2025-12-31</v>
      </c>
    </row>
    <row r="106" spans="1:16" x14ac:dyDescent="0.2">
      <c r="A106" t="str" cm="1">
        <f t="array" ref="A106">_xlfn.LET(
    _xlpm.txt, B106,
    _xlpm.chars, MID(_xlpm.txt, _xlfn.SEQUENCE(LEN(_xlpm.txt)), 1),
    _xlpm.filtered, _xlfn._xlws.FILTER(_xlpm.chars, NOT(ISNUMBER(SEARCH(_xlpm.chars, "ABCDEFGHIJKLMNOPQRSTUVWXYZabcdefghijklmnopqrstuvwxyz")))),
    _xlfn.TEXTJOIN("",, _xlpm.filtered)
)</f>
        <v>000243</v>
      </c>
      <c r="B106" s="3" t="s">
        <v>546</v>
      </c>
      <c r="C106" s="3" t="s">
        <v>547</v>
      </c>
      <c r="D106" s="4">
        <v>450</v>
      </c>
      <c r="E106" s="3" t="s">
        <v>548</v>
      </c>
      <c r="F106" s="3" t="s">
        <v>33</v>
      </c>
      <c r="G106" s="3" t="s">
        <v>549</v>
      </c>
      <c r="H106" s="3" t="s">
        <v>509</v>
      </c>
      <c r="I106" s="3" t="s">
        <v>20</v>
      </c>
      <c r="J106" s="3" t="s">
        <v>511</v>
      </c>
      <c r="K106" s="3" t="s">
        <v>551</v>
      </c>
      <c r="L106" s="3" t="s">
        <v>512</v>
      </c>
      <c r="M106" s="3" t="s">
        <v>513</v>
      </c>
      <c r="N106" s="3" t="s">
        <v>273</v>
      </c>
      <c r="O106" t="str">
        <f>"2024-08-01"</f>
        <v>2024-08-01</v>
      </c>
      <c r="P106" t="str">
        <f>"2025-07-31"</f>
        <v>2025-07-31</v>
      </c>
    </row>
    <row r="107" spans="1:16" x14ac:dyDescent="0.2">
      <c r="A107" t="str" cm="1">
        <f t="array" ref="A107">_xlfn.LET(
    _xlpm.txt, B107,
    _xlpm.chars, MID(_xlpm.txt, _xlfn.SEQUENCE(LEN(_xlpm.txt)), 1),
    _xlpm.filtered, _xlfn._xlws.FILTER(_xlpm.chars, NOT(ISNUMBER(SEARCH(_xlpm.chars, "ABCDEFGHIJKLMNOPQRSTUVWXYZabcdefghijklmnopqrstuvwxyz")))),
    _xlfn.TEXTJOIN("",, _xlpm.filtered)
)</f>
        <v>000244</v>
      </c>
      <c r="B107" s="3" t="s">
        <v>552</v>
      </c>
      <c r="C107" s="3" t="s">
        <v>553</v>
      </c>
      <c r="D107" s="4">
        <v>112</v>
      </c>
      <c r="E107" s="3" t="s">
        <v>554</v>
      </c>
      <c r="F107" s="3" t="s">
        <v>33</v>
      </c>
      <c r="G107" s="3" t="s">
        <v>555</v>
      </c>
      <c r="H107" s="3" t="s">
        <v>132</v>
      </c>
      <c r="I107" s="3" t="s">
        <v>20</v>
      </c>
      <c r="J107" s="3" t="s">
        <v>85</v>
      </c>
      <c r="K107" s="3" t="s">
        <v>37</v>
      </c>
      <c r="L107" s="3" t="s">
        <v>38</v>
      </c>
      <c r="M107" s="3" t="s">
        <v>48</v>
      </c>
      <c r="N107" s="3" t="s">
        <v>25</v>
      </c>
      <c r="O107" t="str">
        <f>"2025-05-01"</f>
        <v>2025-05-01</v>
      </c>
      <c r="P107" t="str">
        <f>"2025-10-31"</f>
        <v>2025-10-31</v>
      </c>
    </row>
    <row r="108" spans="1:16" x14ac:dyDescent="0.2">
      <c r="A108" t="str" cm="1">
        <f t="array" ref="A108">_xlfn.LET(
    _xlpm.txt, B108,
    _xlpm.chars, MID(_xlpm.txt, _xlfn.SEQUENCE(LEN(_xlpm.txt)), 1),
    _xlpm.filtered, _xlfn._xlws.FILTER(_xlpm.chars, NOT(ISNUMBER(SEARCH(_xlpm.chars, "ABCDEFGHIJKLMNOPQRSTUVWXYZabcdefghijklmnopqrstuvwxyz")))),
    _xlfn.TEXTJOIN("",, _xlpm.filtered)
)</f>
        <v>000245</v>
      </c>
      <c r="B108" s="3" t="s">
        <v>556</v>
      </c>
      <c r="C108" s="3" t="s">
        <v>557</v>
      </c>
      <c r="D108" s="4">
        <v>180</v>
      </c>
      <c r="E108" s="3" t="s">
        <v>491</v>
      </c>
      <c r="F108" s="3" t="s">
        <v>558</v>
      </c>
      <c r="G108" s="3" t="s">
        <v>559</v>
      </c>
      <c r="H108" s="3" t="s">
        <v>132</v>
      </c>
      <c r="I108" s="3" t="s">
        <v>20</v>
      </c>
      <c r="J108" s="3" t="s">
        <v>60</v>
      </c>
      <c r="K108" s="3" t="s">
        <v>37</v>
      </c>
      <c r="L108" s="3" t="s">
        <v>174</v>
      </c>
      <c r="M108" s="3" t="s">
        <v>24</v>
      </c>
      <c r="N108" s="3" t="s">
        <v>25</v>
      </c>
      <c r="O108" t="str">
        <f>"2025-08-01"</f>
        <v>2025-08-01</v>
      </c>
      <c r="P108" t="str">
        <f>"2026-07-31"</f>
        <v>2026-07-31</v>
      </c>
    </row>
    <row r="109" spans="1:16" x14ac:dyDescent="0.2">
      <c r="A109" t="str" cm="1">
        <f t="array" ref="A109">_xlfn.LET(
    _xlpm.txt, B109,
    _xlpm.chars, MID(_xlpm.txt, _xlfn.SEQUENCE(LEN(_xlpm.txt)), 1),
    _xlpm.filtered, _xlfn._xlws.FILTER(_xlpm.chars, NOT(ISNUMBER(SEARCH(_xlpm.chars, "ABCDEFGHIJKLMNOPQRSTUVWXYZabcdefghijklmnopqrstuvwxyz")))),
    _xlfn.TEXTJOIN("",, _xlpm.filtered)
)</f>
        <v>000248</v>
      </c>
      <c r="B109" s="3" t="s">
        <v>560</v>
      </c>
      <c r="C109" s="3" t="s">
        <v>320</v>
      </c>
      <c r="D109" s="4">
        <v>360</v>
      </c>
      <c r="E109" s="3" t="s">
        <v>384</v>
      </c>
      <c r="F109" s="3" t="s">
        <v>33</v>
      </c>
      <c r="G109" s="3" t="s">
        <v>561</v>
      </c>
      <c r="H109" s="3" t="s">
        <v>59</v>
      </c>
      <c r="I109" s="3" t="s">
        <v>20</v>
      </c>
      <c r="J109" s="3" t="s">
        <v>73</v>
      </c>
      <c r="K109" s="3" t="s">
        <v>22</v>
      </c>
      <c r="L109" s="3" t="s">
        <v>174</v>
      </c>
      <c r="M109" s="3" t="s">
        <v>562</v>
      </c>
      <c r="N109" s="3" t="s">
        <v>25</v>
      </c>
      <c r="O109" t="str">
        <f>"2025-01-01"</f>
        <v>2025-01-01</v>
      </c>
      <c r="P109" t="str">
        <f>"2025-12-31"</f>
        <v>2025-12-31</v>
      </c>
    </row>
    <row r="110" spans="1:16" x14ac:dyDescent="0.2">
      <c r="A110" t="str" cm="1">
        <f t="array" ref="A110">_xlfn.LET(
    _xlpm.txt, B110,
    _xlpm.chars, MID(_xlpm.txt, _xlfn.SEQUENCE(LEN(_xlpm.txt)), 1),
    _xlpm.filtered, _xlfn._xlws.FILTER(_xlpm.chars, NOT(ISNUMBER(SEARCH(_xlpm.chars, "ABCDEFGHIJKLMNOPQRSTUVWXYZabcdefghijklmnopqrstuvwxyz")))),
    _xlfn.TEXTJOIN("",, _xlpm.filtered)
)</f>
        <v>000250</v>
      </c>
      <c r="B110" s="3" t="s">
        <v>563</v>
      </c>
      <c r="C110" s="3" t="s">
        <v>564</v>
      </c>
      <c r="D110" s="4">
        <v>380</v>
      </c>
      <c r="E110" s="3" t="s">
        <v>565</v>
      </c>
      <c r="F110" s="3" t="s">
        <v>565</v>
      </c>
      <c r="G110" s="3" t="s">
        <v>566</v>
      </c>
      <c r="H110" s="3" t="s">
        <v>59</v>
      </c>
      <c r="I110" s="3" t="s">
        <v>20</v>
      </c>
      <c r="J110" s="3" t="s">
        <v>119</v>
      </c>
      <c r="K110" s="3" t="s">
        <v>22</v>
      </c>
      <c r="L110" s="3" t="s">
        <v>23</v>
      </c>
      <c r="M110" s="3" t="s">
        <v>387</v>
      </c>
      <c r="N110" s="3" t="s">
        <v>25</v>
      </c>
      <c r="O110" t="str">
        <f>"2025-04-01"</f>
        <v>2025-04-01</v>
      </c>
      <c r="P110" t="str">
        <f>"2026-03-31"</f>
        <v>2026-03-31</v>
      </c>
    </row>
    <row r="111" spans="1:16" x14ac:dyDescent="0.2">
      <c r="A111" t="str" cm="1">
        <f t="array" ref="A111">_xlfn.LET(
    _xlpm.txt, B111,
    _xlpm.chars, MID(_xlpm.txt, _xlfn.SEQUENCE(LEN(_xlpm.txt)), 1),
    _xlpm.filtered, _xlfn._xlws.FILTER(_xlpm.chars, NOT(ISNUMBER(SEARCH(_xlpm.chars, "ABCDEFGHIJKLMNOPQRSTUVWXYZabcdefghijklmnopqrstuvwxyz")))),
    _xlfn.TEXTJOIN("",, _xlpm.filtered)
)</f>
        <v>000251</v>
      </c>
      <c r="B111" s="3" t="s">
        <v>567</v>
      </c>
      <c r="C111" s="3" t="s">
        <v>568</v>
      </c>
      <c r="D111" s="4">
        <v>380</v>
      </c>
      <c r="E111" s="3" t="s">
        <v>16</v>
      </c>
      <c r="F111" s="3" t="s">
        <v>569</v>
      </c>
      <c r="G111" s="3" t="s">
        <v>570</v>
      </c>
      <c r="H111" s="3" t="s">
        <v>59</v>
      </c>
      <c r="I111" s="3" t="s">
        <v>20</v>
      </c>
      <c r="J111" s="3" t="s">
        <v>214</v>
      </c>
      <c r="K111" s="3" t="s">
        <v>22</v>
      </c>
      <c r="L111" s="3" t="s">
        <v>38</v>
      </c>
      <c r="M111" s="3" t="s">
        <v>571</v>
      </c>
      <c r="N111" s="3" t="s">
        <v>25</v>
      </c>
      <c r="O111" t="str">
        <f>"2025-01-01"</f>
        <v>2025-01-01</v>
      </c>
      <c r="P111" t="str">
        <f>"2025-12-31"</f>
        <v>2025-12-31</v>
      </c>
    </row>
    <row r="112" spans="1:16" x14ac:dyDescent="0.2">
      <c r="A112" t="str" cm="1">
        <f t="array" ref="A112">_xlfn.LET(
    _xlpm.txt, B112,
    _xlpm.chars, MID(_xlpm.txt, _xlfn.SEQUENCE(LEN(_xlpm.txt)), 1),
    _xlpm.filtered, _xlfn._xlws.FILTER(_xlpm.chars, NOT(ISNUMBER(SEARCH(_xlpm.chars, "ABCDEFGHIJKLMNOPQRSTUVWXYZabcdefghijklmnopqrstuvwxyz")))),
    _xlfn.TEXTJOIN("",, _xlpm.filtered)
)</f>
        <v>000252</v>
      </c>
      <c r="B112" s="3" t="s">
        <v>572</v>
      </c>
      <c r="C112" s="3" t="s">
        <v>553</v>
      </c>
      <c r="D112" s="4">
        <v>450</v>
      </c>
      <c r="E112" s="3" t="s">
        <v>573</v>
      </c>
      <c r="F112" s="3" t="s">
        <v>574</v>
      </c>
      <c r="G112" s="3" t="s">
        <v>575</v>
      </c>
      <c r="H112" s="3" t="s">
        <v>132</v>
      </c>
      <c r="I112" s="3" t="s">
        <v>20</v>
      </c>
      <c r="J112" s="3" t="s">
        <v>85</v>
      </c>
      <c r="K112" s="3" t="s">
        <v>37</v>
      </c>
      <c r="L112" s="3" t="s">
        <v>38</v>
      </c>
      <c r="M112" s="3" t="s">
        <v>144</v>
      </c>
      <c r="N112" s="3" t="s">
        <v>25</v>
      </c>
      <c r="O112" t="str">
        <f>"2025-05-01"</f>
        <v>2025-05-01</v>
      </c>
      <c r="P112" t="str">
        <f>"2026-04-30"</f>
        <v>2026-04-30</v>
      </c>
    </row>
    <row r="113" spans="1:16" x14ac:dyDescent="0.2">
      <c r="A113" t="str" cm="1">
        <f t="array" ref="A113">_xlfn.LET(
    _xlpm.txt, B113,
    _xlpm.chars, MID(_xlpm.txt, _xlfn.SEQUENCE(LEN(_xlpm.txt)), 1),
    _xlpm.filtered, _xlfn._xlws.FILTER(_xlpm.chars, NOT(ISNUMBER(SEARCH(_xlpm.chars, "ABCDEFGHIJKLMNOPQRSTUVWXYZabcdefghijklmnopqrstuvwxyz")))),
    _xlfn.TEXTJOIN("",, _xlpm.filtered)
)</f>
        <v>000253</v>
      </c>
      <c r="B113" s="3" t="s">
        <v>576</v>
      </c>
      <c r="C113" s="3" t="s">
        <v>257</v>
      </c>
      <c r="D113" s="4">
        <v>360</v>
      </c>
      <c r="E113" s="3" t="s">
        <v>577</v>
      </c>
      <c r="F113" s="3" t="s">
        <v>578</v>
      </c>
      <c r="G113" s="3" t="s">
        <v>579</v>
      </c>
      <c r="H113" s="3" t="s">
        <v>59</v>
      </c>
      <c r="I113" s="3" t="s">
        <v>20</v>
      </c>
      <c r="J113" s="3" t="s">
        <v>21</v>
      </c>
      <c r="K113" s="3" t="s">
        <v>22</v>
      </c>
      <c r="L113" s="3" t="s">
        <v>38</v>
      </c>
      <c r="M113" s="3" t="s">
        <v>87</v>
      </c>
      <c r="N113" s="3" t="s">
        <v>25</v>
      </c>
      <c r="O113" t="str">
        <f>"2025-01-01"</f>
        <v>2025-01-01</v>
      </c>
      <c r="P113" t="str">
        <f>"2025-12-31"</f>
        <v>2025-12-31</v>
      </c>
    </row>
    <row r="114" spans="1:16" x14ac:dyDescent="0.2">
      <c r="A114" t="str" cm="1">
        <f t="array" ref="A114">_xlfn.LET(
    _xlpm.txt, B114,
    _xlpm.chars, MID(_xlpm.txt, _xlfn.SEQUENCE(LEN(_xlpm.txt)), 1),
    _xlpm.filtered, _xlfn._xlws.FILTER(_xlpm.chars, NOT(ISNUMBER(SEARCH(_xlpm.chars, "ABCDEFGHIJKLMNOPQRSTUVWXYZabcdefghijklmnopqrstuvwxyz")))),
    _xlfn.TEXTJOIN("",, _xlpm.filtered)
)</f>
        <v>000254</v>
      </c>
      <c r="B114" s="3" t="s">
        <v>580</v>
      </c>
      <c r="C114" s="3" t="s">
        <v>581</v>
      </c>
      <c r="D114" s="4">
        <v>165</v>
      </c>
      <c r="E114" s="3" t="s">
        <v>582</v>
      </c>
      <c r="F114" s="3" t="s">
        <v>33</v>
      </c>
      <c r="G114" s="3" t="s">
        <v>583</v>
      </c>
      <c r="H114" s="3" t="s">
        <v>202</v>
      </c>
      <c r="I114" s="3" t="s">
        <v>20</v>
      </c>
      <c r="J114" s="3" t="s">
        <v>36</v>
      </c>
      <c r="K114" s="3" t="s">
        <v>295</v>
      </c>
      <c r="L114" s="3" t="s">
        <v>296</v>
      </c>
      <c r="M114" s="3" t="s">
        <v>297</v>
      </c>
      <c r="N114" s="3" t="s">
        <v>25</v>
      </c>
      <c r="O114" t="str">
        <f>"2025-03-05"</f>
        <v>2025-03-05</v>
      </c>
      <c r="P114" t="str">
        <f>"2026-03-04"</f>
        <v>2026-03-04</v>
      </c>
    </row>
    <row r="115" spans="1:16" x14ac:dyDescent="0.2">
      <c r="A115" t="str" cm="1">
        <f t="array" ref="A115">_xlfn.LET(
    _xlpm.txt, B115,
    _xlpm.chars, MID(_xlpm.txt, _xlfn.SEQUENCE(LEN(_xlpm.txt)), 1),
    _xlpm.filtered, _xlfn._xlws.FILTER(_xlpm.chars, NOT(ISNUMBER(SEARCH(_xlpm.chars, "ABCDEFGHIJKLMNOPQRSTUVWXYZabcdefghijklmnopqrstuvwxyz")))),
    _xlfn.TEXTJOIN("",, _xlpm.filtered)
)</f>
        <v>000255</v>
      </c>
      <c r="B115" s="3" t="s">
        <v>584</v>
      </c>
      <c r="C115" s="3" t="s">
        <v>585</v>
      </c>
      <c r="D115" s="4">
        <v>320</v>
      </c>
      <c r="E115" s="3" t="s">
        <v>586</v>
      </c>
      <c r="F115" s="3" t="s">
        <v>587</v>
      </c>
      <c r="G115" s="3" t="s">
        <v>588</v>
      </c>
      <c r="H115" s="3" t="s">
        <v>59</v>
      </c>
      <c r="I115" s="3" t="s">
        <v>20</v>
      </c>
      <c r="J115" s="3" t="s">
        <v>60</v>
      </c>
      <c r="K115" s="3" t="s">
        <v>22</v>
      </c>
      <c r="L115" s="3" t="s">
        <v>38</v>
      </c>
      <c r="M115" s="3" t="s">
        <v>48</v>
      </c>
      <c r="N115" s="3" t="s">
        <v>25</v>
      </c>
      <c r="O115" t="str">
        <f>"2025-09-15"</f>
        <v>2025-09-15</v>
      </c>
      <c r="P115" t="str">
        <f>"2026-09-14"</f>
        <v>2026-09-14</v>
      </c>
    </row>
    <row r="116" spans="1:16" x14ac:dyDescent="0.2">
      <c r="A116" t="str" cm="1">
        <f t="array" ref="A116">_xlfn.LET(
    _xlpm.txt, B116,
    _xlpm.chars, MID(_xlpm.txt, _xlfn.SEQUENCE(LEN(_xlpm.txt)), 1),
    _xlpm.filtered, _xlfn._xlws.FILTER(_xlpm.chars, NOT(ISNUMBER(SEARCH(_xlpm.chars, "ABCDEFGHIJKLMNOPQRSTUVWXYZabcdefghijklmnopqrstuvwxyz")))),
    _xlfn.TEXTJOIN("",, _xlpm.filtered)
)</f>
        <v>000256</v>
      </c>
      <c r="B116" s="3" t="s">
        <v>589</v>
      </c>
      <c r="C116" s="3" t="s">
        <v>204</v>
      </c>
      <c r="D116" s="4">
        <v>360</v>
      </c>
      <c r="E116" s="3" t="s">
        <v>205</v>
      </c>
      <c r="F116" s="3" t="s">
        <v>590</v>
      </c>
      <c r="G116" s="3" t="s">
        <v>591</v>
      </c>
      <c r="H116" s="3" t="s">
        <v>59</v>
      </c>
      <c r="I116" s="3" t="s">
        <v>20</v>
      </c>
      <c r="J116" s="3" t="s">
        <v>119</v>
      </c>
      <c r="K116" s="3" t="s">
        <v>22</v>
      </c>
      <c r="L116" s="3" t="s">
        <v>23</v>
      </c>
      <c r="M116" s="3" t="s">
        <v>24</v>
      </c>
      <c r="N116" s="3" t="s">
        <v>25</v>
      </c>
      <c r="O116" t="str">
        <f>"2025-03-01"</f>
        <v>2025-03-01</v>
      </c>
      <c r="P116" t="str">
        <f>"2026-02-28"</f>
        <v>2026-02-28</v>
      </c>
    </row>
    <row r="117" spans="1:16" x14ac:dyDescent="0.2">
      <c r="A117" t="str" cm="1">
        <f t="array" ref="A117">_xlfn.LET(
    _xlpm.txt, B117,
    _xlpm.chars, MID(_xlpm.txt, _xlfn.SEQUENCE(LEN(_xlpm.txt)), 1),
    _xlpm.filtered, _xlfn._xlws.FILTER(_xlpm.chars, NOT(ISNUMBER(SEARCH(_xlpm.chars, "ABCDEFGHIJKLMNOPQRSTUVWXYZabcdefghijklmnopqrstuvwxyz")))),
    _xlfn.TEXTJOIN("",, _xlpm.filtered)
)</f>
        <v>000258</v>
      </c>
      <c r="B117" s="3" t="s">
        <v>592</v>
      </c>
      <c r="C117" s="3" t="s">
        <v>593</v>
      </c>
      <c r="D117" s="4">
        <v>100</v>
      </c>
      <c r="E117" s="3" t="s">
        <v>594</v>
      </c>
      <c r="F117" s="3" t="s">
        <v>33</v>
      </c>
      <c r="G117" s="3" t="s">
        <v>595</v>
      </c>
      <c r="H117" s="3" t="s">
        <v>202</v>
      </c>
      <c r="I117" s="3" t="s">
        <v>20</v>
      </c>
      <c r="J117" s="3" t="s">
        <v>36</v>
      </c>
      <c r="K117" s="3" t="s">
        <v>37</v>
      </c>
      <c r="L117" s="3" t="s">
        <v>38</v>
      </c>
      <c r="M117" s="3" t="s">
        <v>24</v>
      </c>
      <c r="N117" s="3" t="s">
        <v>273</v>
      </c>
      <c r="O117" t="str">
        <f>"2025-08-01"</f>
        <v>2025-08-01</v>
      </c>
      <c r="P117" t="str">
        <f>"2026-07-31"</f>
        <v>2026-07-31</v>
      </c>
    </row>
    <row r="118" spans="1:16" x14ac:dyDescent="0.2">
      <c r="A118" t="str" cm="1">
        <f t="array" ref="A118">_xlfn.LET(
    _xlpm.txt, B118,
    _xlpm.chars, MID(_xlpm.txt, _xlfn.SEQUENCE(LEN(_xlpm.txt)), 1),
    _xlpm.filtered, _xlfn._xlws.FILTER(_xlpm.chars, NOT(ISNUMBER(SEARCH(_xlpm.chars, "ABCDEFGHIJKLMNOPQRSTUVWXYZabcdefghijklmnopqrstuvwxyz")))),
    _xlfn.TEXTJOIN("",, _xlpm.filtered)
)</f>
        <v>000259</v>
      </c>
      <c r="B118" s="3" t="s">
        <v>596</v>
      </c>
      <c r="C118" s="3" t="s">
        <v>597</v>
      </c>
      <c r="D118" s="4">
        <v>150</v>
      </c>
      <c r="E118" s="3" t="s">
        <v>598</v>
      </c>
      <c r="F118" s="3" t="s">
        <v>33</v>
      </c>
      <c r="G118" s="3" t="s">
        <v>599</v>
      </c>
      <c r="H118" s="3" t="s">
        <v>202</v>
      </c>
      <c r="I118" s="3" t="s">
        <v>20</v>
      </c>
      <c r="J118" s="3" t="s">
        <v>67</v>
      </c>
      <c r="K118" s="3" t="s">
        <v>37</v>
      </c>
      <c r="L118" s="3" t="s">
        <v>38</v>
      </c>
      <c r="M118" s="3" t="s">
        <v>48</v>
      </c>
      <c r="N118" s="3" t="s">
        <v>25</v>
      </c>
      <c r="O118" t="str">
        <f>"2025-08-12"</f>
        <v>2025-08-12</v>
      </c>
      <c r="P118" t="str">
        <f>"2026-08-11"</f>
        <v>2026-08-11</v>
      </c>
    </row>
    <row r="119" spans="1:16" x14ac:dyDescent="0.2">
      <c r="A119" t="str" cm="1">
        <f t="array" ref="A119">_xlfn.LET(
    _xlpm.txt, B119,
    _xlpm.chars, MID(_xlpm.txt, _xlfn.SEQUENCE(LEN(_xlpm.txt)), 1),
    _xlpm.filtered, _xlfn._xlws.FILTER(_xlpm.chars, NOT(ISNUMBER(SEARCH(_xlpm.chars, "ABCDEFGHIJKLMNOPQRSTUVWXYZabcdefghijklmnopqrstuvwxyz")))),
    _xlfn.TEXTJOIN("",, _xlpm.filtered)
)</f>
        <v>000260</v>
      </c>
      <c r="B119" s="3" t="s">
        <v>600</v>
      </c>
      <c r="C119" s="3" t="s">
        <v>204</v>
      </c>
      <c r="D119" s="4">
        <v>360</v>
      </c>
      <c r="E119" s="3" t="s">
        <v>205</v>
      </c>
      <c r="F119" s="3" t="s">
        <v>601</v>
      </c>
      <c r="G119" s="3" t="s">
        <v>602</v>
      </c>
      <c r="H119" s="3" t="s">
        <v>59</v>
      </c>
      <c r="I119" s="3" t="s">
        <v>20</v>
      </c>
      <c r="J119" s="3" t="s">
        <v>214</v>
      </c>
      <c r="K119" s="3" t="s">
        <v>22</v>
      </c>
      <c r="L119" s="3" t="s">
        <v>138</v>
      </c>
      <c r="M119" s="3" t="s">
        <v>87</v>
      </c>
      <c r="N119" s="3" t="s">
        <v>25</v>
      </c>
      <c r="O119" t="str">
        <f>"2025-03-01"</f>
        <v>2025-03-01</v>
      </c>
      <c r="P119" t="str">
        <f>"2026-02-28"</f>
        <v>2026-02-28</v>
      </c>
    </row>
    <row r="120" spans="1:16" x14ac:dyDescent="0.2">
      <c r="A120" t="str" cm="1">
        <f t="array" ref="A120">_xlfn.LET(
    _xlpm.txt, B120,
    _xlpm.chars, MID(_xlpm.txt, _xlfn.SEQUENCE(LEN(_xlpm.txt)), 1),
    _xlpm.filtered, _xlfn._xlws.FILTER(_xlpm.chars, NOT(ISNUMBER(SEARCH(_xlpm.chars, "ABCDEFGHIJKLMNOPQRSTUVWXYZabcdefghijklmnopqrstuvwxyz")))),
    _xlfn.TEXTJOIN("",, _xlpm.filtered)
)</f>
        <v>000261</v>
      </c>
      <c r="B120" s="3" t="s">
        <v>603</v>
      </c>
      <c r="C120" s="3" t="s">
        <v>604</v>
      </c>
      <c r="D120" s="4">
        <v>400</v>
      </c>
      <c r="E120" s="3" t="s">
        <v>605</v>
      </c>
      <c r="F120" s="3" t="s">
        <v>606</v>
      </c>
      <c r="G120" s="3" t="s">
        <v>607</v>
      </c>
      <c r="H120" s="3" t="s">
        <v>132</v>
      </c>
      <c r="I120" s="3" t="s">
        <v>20</v>
      </c>
      <c r="J120" s="3" t="s">
        <v>60</v>
      </c>
      <c r="K120" s="3" t="s">
        <v>22</v>
      </c>
      <c r="L120" s="3" t="s">
        <v>38</v>
      </c>
      <c r="M120" s="3" t="s">
        <v>24</v>
      </c>
      <c r="N120" s="3" t="s">
        <v>25</v>
      </c>
      <c r="O120" t="str">
        <f>"2025-01-01"</f>
        <v>2025-01-01</v>
      </c>
      <c r="P120" t="str">
        <f>"2025-12-31"</f>
        <v>2025-12-31</v>
      </c>
    </row>
    <row r="121" spans="1:16" x14ac:dyDescent="0.2">
      <c r="A121" t="str" cm="1">
        <f t="array" ref="A121">_xlfn.LET(
    _xlpm.txt, B121,
    _xlpm.chars, MID(_xlpm.txt, _xlfn.SEQUENCE(LEN(_xlpm.txt)), 1),
    _xlpm.filtered, _xlfn._xlws.FILTER(_xlpm.chars, NOT(ISNUMBER(SEARCH(_xlpm.chars, "ABCDEFGHIJKLMNOPQRSTUVWXYZabcdefghijklmnopqrstuvwxyz")))),
    _xlfn.TEXTJOIN("",, _xlpm.filtered)
)</f>
        <v>000263</v>
      </c>
      <c r="B121" s="3" t="s">
        <v>608</v>
      </c>
      <c r="C121" s="3" t="s">
        <v>604</v>
      </c>
      <c r="D121" s="4">
        <v>180</v>
      </c>
      <c r="E121" s="3" t="s">
        <v>605</v>
      </c>
      <c r="F121" s="3" t="s">
        <v>609</v>
      </c>
      <c r="G121" s="3" t="s">
        <v>610</v>
      </c>
      <c r="H121" s="3" t="s">
        <v>59</v>
      </c>
      <c r="I121" s="3" t="s">
        <v>20</v>
      </c>
      <c r="J121" s="3" t="s">
        <v>73</v>
      </c>
      <c r="K121" s="3" t="s">
        <v>37</v>
      </c>
      <c r="L121" s="3" t="s">
        <v>33</v>
      </c>
      <c r="M121" s="3" t="s">
        <v>297</v>
      </c>
      <c r="N121" s="3" t="s">
        <v>25</v>
      </c>
      <c r="O121" t="str">
        <f>"2025-01-01"</f>
        <v>2025-01-01</v>
      </c>
      <c r="P121" t="str">
        <f>"2025-12-31"</f>
        <v>2025-12-31</v>
      </c>
    </row>
    <row r="122" spans="1:16" x14ac:dyDescent="0.2">
      <c r="A122" t="str" cm="1">
        <f t="array" ref="A122">_xlfn.LET(
    _xlpm.txt, B122,
    _xlpm.chars, MID(_xlpm.txt, _xlfn.SEQUENCE(LEN(_xlpm.txt)), 1),
    _xlpm.filtered, _xlfn._xlws.FILTER(_xlpm.chars, NOT(ISNUMBER(SEARCH(_xlpm.chars, "ABCDEFGHIJKLMNOPQRSTUVWXYZabcdefghijklmnopqrstuvwxyz")))),
    _xlfn.TEXTJOIN("",, _xlpm.filtered)
)</f>
        <v>000265</v>
      </c>
      <c r="B122" s="3" t="s">
        <v>611</v>
      </c>
      <c r="C122" s="3" t="s">
        <v>612</v>
      </c>
      <c r="D122" s="4">
        <v>360</v>
      </c>
      <c r="E122" s="3" t="s">
        <v>605</v>
      </c>
      <c r="F122" s="3" t="s">
        <v>613</v>
      </c>
      <c r="G122" s="3" t="s">
        <v>614</v>
      </c>
      <c r="H122" s="3" t="s">
        <v>132</v>
      </c>
      <c r="I122" s="3" t="s">
        <v>20</v>
      </c>
      <c r="J122" s="3" t="s">
        <v>73</v>
      </c>
      <c r="K122" s="3" t="s">
        <v>22</v>
      </c>
      <c r="L122" s="3" t="s">
        <v>23</v>
      </c>
      <c r="M122" s="3" t="s">
        <v>24</v>
      </c>
      <c r="N122" s="3" t="s">
        <v>25</v>
      </c>
      <c r="O122" t="str">
        <f>"2025-01-01"</f>
        <v>2025-01-01</v>
      </c>
      <c r="P122" t="str">
        <f>"2025-12-31"</f>
        <v>2025-12-31</v>
      </c>
    </row>
    <row r="123" spans="1:16" x14ac:dyDescent="0.2">
      <c r="A123" t="str" cm="1">
        <f t="array" ref="A123">_xlfn.LET(
    _xlpm.txt, B123,
    _xlpm.chars, MID(_xlpm.txt, _xlfn.SEQUENCE(LEN(_xlpm.txt)), 1),
    _xlpm.filtered, _xlfn._xlws.FILTER(_xlpm.chars, NOT(ISNUMBER(SEARCH(_xlpm.chars, "ABCDEFGHIJKLMNOPQRSTUVWXYZabcdefghijklmnopqrstuvwxyz")))),
    _xlfn.TEXTJOIN("",, _xlpm.filtered)
)</f>
        <v>000266</v>
      </c>
      <c r="B123" s="3" t="s">
        <v>615</v>
      </c>
      <c r="C123" s="3" t="s">
        <v>604</v>
      </c>
      <c r="D123" s="4">
        <v>200</v>
      </c>
      <c r="E123" s="3" t="s">
        <v>605</v>
      </c>
      <c r="F123" s="3" t="s">
        <v>616</v>
      </c>
      <c r="G123" s="3" t="s">
        <v>617</v>
      </c>
      <c r="H123" s="3" t="s">
        <v>59</v>
      </c>
      <c r="I123" s="3" t="s">
        <v>20</v>
      </c>
      <c r="J123" s="3" t="s">
        <v>85</v>
      </c>
      <c r="K123" s="3" t="s">
        <v>22</v>
      </c>
      <c r="L123" s="3" t="s">
        <v>38</v>
      </c>
      <c r="M123" s="3" t="s">
        <v>87</v>
      </c>
      <c r="N123" s="3" t="s">
        <v>25</v>
      </c>
      <c r="O123" t="str">
        <f>"2025-01-01"</f>
        <v>2025-01-01</v>
      </c>
      <c r="P123" t="str">
        <f>"2025-12-31"</f>
        <v>2025-12-31</v>
      </c>
    </row>
    <row r="124" spans="1:16" x14ac:dyDescent="0.2">
      <c r="A124" t="str" cm="1">
        <f t="array" ref="A124">_xlfn.LET(
    _xlpm.txt, B124,
    _xlpm.chars, MID(_xlpm.txt, _xlfn.SEQUENCE(LEN(_xlpm.txt)), 1),
    _xlpm.filtered, _xlfn._xlws.FILTER(_xlpm.chars, NOT(ISNUMBER(SEARCH(_xlpm.chars, "ABCDEFGHIJKLMNOPQRSTUVWXYZabcdefghijklmnopqrstuvwxyz")))),
    _xlfn.TEXTJOIN("",, _xlpm.filtered)
)</f>
        <v>000268</v>
      </c>
      <c r="B124" s="3" t="s">
        <v>618</v>
      </c>
      <c r="C124" s="3" t="s">
        <v>619</v>
      </c>
      <c r="D124" s="4">
        <v>120</v>
      </c>
      <c r="E124" s="3" t="s">
        <v>620</v>
      </c>
      <c r="F124" s="3" t="s">
        <v>621</v>
      </c>
      <c r="G124" s="3" t="s">
        <v>622</v>
      </c>
      <c r="H124" s="3" t="s">
        <v>623</v>
      </c>
      <c r="I124" s="3" t="s">
        <v>20</v>
      </c>
      <c r="J124" s="3" t="s">
        <v>67</v>
      </c>
      <c r="K124" s="3" t="s">
        <v>37</v>
      </c>
      <c r="L124" s="3" t="s">
        <v>33</v>
      </c>
      <c r="M124" s="3" t="s">
        <v>126</v>
      </c>
      <c r="N124" s="3" t="s">
        <v>273</v>
      </c>
      <c r="O124" t="str">
        <f>"2025-07-01"</f>
        <v>2025-07-01</v>
      </c>
      <c r="P124" t="str">
        <f>"2026-06-30"</f>
        <v>2026-06-30</v>
      </c>
    </row>
    <row r="125" spans="1:16" x14ac:dyDescent="0.2">
      <c r="A125" t="str" cm="1">
        <f t="array" ref="A125">_xlfn.LET(
    _xlpm.txt, B125,
    _xlpm.chars, MID(_xlpm.txt, _xlfn.SEQUENCE(LEN(_xlpm.txt)), 1),
    _xlpm.filtered, _xlfn._xlws.FILTER(_xlpm.chars, NOT(ISNUMBER(SEARCH(_xlpm.chars, "ABCDEFGHIJKLMNOPQRSTUVWXYZabcdefghijklmnopqrstuvwxyz")))),
    _xlfn.TEXTJOIN("",, _xlpm.filtered)
)</f>
        <v>000269</v>
      </c>
      <c r="B125" s="3" t="s">
        <v>624</v>
      </c>
      <c r="C125" s="3" t="s">
        <v>625</v>
      </c>
      <c r="D125" s="4">
        <v>180</v>
      </c>
      <c r="E125" s="3" t="s">
        <v>33</v>
      </c>
      <c r="F125" s="3" t="s">
        <v>33</v>
      </c>
      <c r="G125" s="3" t="s">
        <v>626</v>
      </c>
      <c r="H125" s="3" t="s">
        <v>84</v>
      </c>
      <c r="I125" s="3" t="s">
        <v>33</v>
      </c>
      <c r="J125" s="3" t="s">
        <v>73</v>
      </c>
      <c r="K125" s="3" t="s">
        <v>33</v>
      </c>
      <c r="L125" s="3" t="s">
        <v>47</v>
      </c>
      <c r="M125" s="3" t="s">
        <v>33</v>
      </c>
      <c r="N125" s="3" t="s">
        <v>25</v>
      </c>
      <c r="O125" t="str">
        <f>"2025-06-01"</f>
        <v>2025-06-01</v>
      </c>
      <c r="P125" t="str">
        <f>"2026-05-31"</f>
        <v>2026-05-31</v>
      </c>
    </row>
    <row r="126" spans="1:16" x14ac:dyDescent="0.2">
      <c r="A126" t="str" cm="1">
        <f t="array" ref="A126">_xlfn.LET(
    _xlpm.txt, B126,
    _xlpm.chars, MID(_xlpm.txt, _xlfn.SEQUENCE(LEN(_xlpm.txt)), 1),
    _xlpm.filtered, _xlfn._xlws.FILTER(_xlpm.chars, NOT(ISNUMBER(SEARCH(_xlpm.chars, "ABCDEFGHIJKLMNOPQRSTUVWXYZabcdefghijklmnopqrstuvwxyz")))),
    _xlfn.TEXTJOIN("",, _xlpm.filtered)
)</f>
        <v>000270</v>
      </c>
      <c r="B126" s="3" t="s">
        <v>627</v>
      </c>
      <c r="C126" s="3" t="s">
        <v>286</v>
      </c>
      <c r="D126" s="4">
        <v>400</v>
      </c>
      <c r="E126" s="3" t="s">
        <v>628</v>
      </c>
      <c r="F126" s="3" t="s">
        <v>629</v>
      </c>
      <c r="G126" s="3" t="s">
        <v>630</v>
      </c>
      <c r="H126" s="3" t="s">
        <v>84</v>
      </c>
      <c r="I126" s="3" t="s">
        <v>20</v>
      </c>
      <c r="J126" s="3" t="s">
        <v>229</v>
      </c>
      <c r="K126" s="3" t="s">
        <v>156</v>
      </c>
      <c r="L126" s="3" t="s">
        <v>156</v>
      </c>
      <c r="M126" s="3" t="s">
        <v>156</v>
      </c>
      <c r="N126" s="3" t="s">
        <v>25</v>
      </c>
      <c r="O126" t="str">
        <f>"2025-01-15"</f>
        <v>2025-01-15</v>
      </c>
      <c r="P126" t="str">
        <f>"2026-01-14"</f>
        <v>2026-01-14</v>
      </c>
    </row>
    <row r="127" spans="1:16" x14ac:dyDescent="0.2">
      <c r="A127" t="str" cm="1">
        <f t="array" ref="A127">_xlfn.LET(
    _xlpm.txt, B127,
    _xlpm.chars, MID(_xlpm.txt, _xlfn.SEQUENCE(LEN(_xlpm.txt)), 1),
    _xlpm.filtered, _xlfn._xlws.FILTER(_xlpm.chars, NOT(ISNUMBER(SEARCH(_xlpm.chars, "ABCDEFGHIJKLMNOPQRSTUVWXYZabcdefghijklmnopqrstuvwxyz")))),
    _xlfn.TEXTJOIN("",, _xlpm.filtered)
)</f>
        <v>000271</v>
      </c>
      <c r="B127" s="3" t="s">
        <v>631</v>
      </c>
      <c r="C127" s="3" t="s">
        <v>632</v>
      </c>
      <c r="D127" s="4">
        <v>185</v>
      </c>
      <c r="E127" s="3" t="s">
        <v>633</v>
      </c>
      <c r="F127" s="3" t="s">
        <v>634</v>
      </c>
      <c r="G127" s="3" t="s">
        <v>635</v>
      </c>
      <c r="H127" s="3" t="s">
        <v>84</v>
      </c>
      <c r="I127" s="3" t="s">
        <v>20</v>
      </c>
      <c r="J127" s="3" t="s">
        <v>60</v>
      </c>
      <c r="K127" s="3" t="s">
        <v>37</v>
      </c>
      <c r="L127" s="3" t="s">
        <v>38</v>
      </c>
      <c r="M127" s="3" t="s">
        <v>62</v>
      </c>
      <c r="N127" s="3" t="s">
        <v>25</v>
      </c>
      <c r="O127" t="str">
        <f>"2025-05-15"</f>
        <v>2025-05-15</v>
      </c>
      <c r="P127" t="str">
        <f>"2026-05-14"</f>
        <v>2026-05-14</v>
      </c>
    </row>
    <row r="128" spans="1:16" x14ac:dyDescent="0.2">
      <c r="A128" t="str" cm="1">
        <f t="array" ref="A128">_xlfn.LET(
    _xlpm.txt, B128,
    _xlpm.chars, MID(_xlpm.txt, _xlfn.SEQUENCE(LEN(_xlpm.txt)), 1),
    _xlpm.filtered, _xlfn._xlws.FILTER(_xlpm.chars, NOT(ISNUMBER(SEARCH(_xlpm.chars, "ABCDEFGHIJKLMNOPQRSTUVWXYZabcdefghijklmnopqrstuvwxyz")))),
    _xlfn.TEXTJOIN("",, _xlpm.filtered)
)</f>
        <v>000272</v>
      </c>
      <c r="B128" s="3" t="s">
        <v>636</v>
      </c>
      <c r="C128" s="3" t="s">
        <v>604</v>
      </c>
      <c r="D128" s="4">
        <v>150</v>
      </c>
      <c r="E128" s="3" t="s">
        <v>605</v>
      </c>
      <c r="F128" s="3" t="s">
        <v>33</v>
      </c>
      <c r="G128" s="3" t="s">
        <v>637</v>
      </c>
      <c r="H128" s="3" t="s">
        <v>308</v>
      </c>
      <c r="I128" s="3" t="s">
        <v>20</v>
      </c>
      <c r="J128" s="3" t="s">
        <v>67</v>
      </c>
      <c r="K128" s="3" t="s">
        <v>196</v>
      </c>
      <c r="L128" s="3" t="s">
        <v>174</v>
      </c>
      <c r="M128" s="3" t="s">
        <v>638</v>
      </c>
      <c r="N128" s="3" t="s">
        <v>25</v>
      </c>
      <c r="O128" t="str">
        <f>"2025-01-01"</f>
        <v>2025-01-01</v>
      </c>
      <c r="P128" t="str">
        <f>"2025-12-31"</f>
        <v>2025-12-31</v>
      </c>
    </row>
    <row r="129" spans="1:16" x14ac:dyDescent="0.2">
      <c r="A129" t="str" cm="1">
        <f t="array" ref="A129">_xlfn.LET(
    _xlpm.txt, B129,
    _xlpm.chars, MID(_xlpm.txt, _xlfn.SEQUENCE(LEN(_xlpm.txt)), 1),
    _xlpm.filtered, _xlfn._xlws.FILTER(_xlpm.chars, NOT(ISNUMBER(SEARCH(_xlpm.chars, "ABCDEFGHIJKLMNOPQRSTUVWXYZabcdefghijklmnopqrstuvwxyz")))),
    _xlfn.TEXTJOIN("",, _xlpm.filtered)
)</f>
        <v>000273</v>
      </c>
      <c r="B129" s="3" t="s">
        <v>639</v>
      </c>
      <c r="C129" s="3" t="s">
        <v>640</v>
      </c>
      <c r="D129" s="4">
        <v>80</v>
      </c>
      <c r="E129" s="3" t="s">
        <v>641</v>
      </c>
      <c r="F129" s="3" t="s">
        <v>33</v>
      </c>
      <c r="G129" s="3" t="s">
        <v>642</v>
      </c>
      <c r="H129" s="3" t="s">
        <v>264</v>
      </c>
      <c r="I129" s="3" t="s">
        <v>33</v>
      </c>
      <c r="J129" s="3" t="s">
        <v>33</v>
      </c>
      <c r="K129" s="3" t="s">
        <v>33</v>
      </c>
      <c r="L129" s="3" t="s">
        <v>33</v>
      </c>
      <c r="M129" s="3" t="s">
        <v>33</v>
      </c>
      <c r="N129" s="3" t="s">
        <v>33</v>
      </c>
      <c r="O129" t="str">
        <f>"2023-01-19"</f>
        <v>2023-01-19</v>
      </c>
      <c r="P129" t="str">
        <f>"2024-01-18"</f>
        <v>2024-01-18</v>
      </c>
    </row>
    <row r="130" spans="1:16" x14ac:dyDescent="0.2">
      <c r="A130" t="str" cm="1">
        <f t="array" ref="A130">_xlfn.LET(
    _xlpm.txt, B130,
    _xlpm.chars, MID(_xlpm.txt, _xlfn.SEQUENCE(LEN(_xlpm.txt)), 1),
    _xlpm.filtered, _xlfn._xlws.FILTER(_xlpm.chars, NOT(ISNUMBER(SEARCH(_xlpm.chars, "ABCDEFGHIJKLMNOPQRSTUVWXYZabcdefghijklmnopqrstuvwxyz")))),
    _xlfn.TEXTJOIN("",, _xlpm.filtered)
)</f>
        <v>000274</v>
      </c>
      <c r="B130" s="3" t="s">
        <v>643</v>
      </c>
      <c r="C130" s="3" t="s">
        <v>644</v>
      </c>
      <c r="D130" s="4">
        <v>150</v>
      </c>
      <c r="E130" s="3" t="s">
        <v>645</v>
      </c>
      <c r="F130" s="3" t="s">
        <v>33</v>
      </c>
      <c r="G130" s="3" t="s">
        <v>646</v>
      </c>
      <c r="H130" s="3" t="s">
        <v>264</v>
      </c>
      <c r="I130" s="3" t="s">
        <v>20</v>
      </c>
      <c r="J130" s="3" t="s">
        <v>67</v>
      </c>
      <c r="K130" s="3" t="s">
        <v>647</v>
      </c>
      <c r="L130" s="3" t="s">
        <v>38</v>
      </c>
      <c r="M130" s="3" t="s">
        <v>326</v>
      </c>
      <c r="N130" s="3" t="s">
        <v>25</v>
      </c>
      <c r="O130" t="str">
        <f>"2025-01-01"</f>
        <v>2025-01-01</v>
      </c>
      <c r="P130" t="str">
        <f>"2025-12-31"</f>
        <v>2025-12-31</v>
      </c>
    </row>
    <row r="131" spans="1:16" x14ac:dyDescent="0.2">
      <c r="A131" t="str" cm="1">
        <f t="array" ref="A131">_xlfn.LET(
    _xlpm.txt, B131,
    _xlpm.chars, MID(_xlpm.txt, _xlfn.SEQUENCE(LEN(_xlpm.txt)), 1),
    _xlpm.filtered, _xlfn._xlws.FILTER(_xlpm.chars, NOT(ISNUMBER(SEARCH(_xlpm.chars, "ABCDEFGHIJKLMNOPQRSTUVWXYZabcdefghijklmnopqrstuvwxyz")))),
    _xlfn.TEXTJOIN("",, _xlpm.filtered)
)</f>
        <v>000275</v>
      </c>
      <c r="B131" s="3" t="s">
        <v>648</v>
      </c>
      <c r="C131" s="3" t="s">
        <v>649</v>
      </c>
      <c r="D131" s="4">
        <v>300</v>
      </c>
      <c r="E131" s="3" t="s">
        <v>650</v>
      </c>
      <c r="F131" s="3" t="s">
        <v>651</v>
      </c>
      <c r="G131" s="3" t="s">
        <v>652</v>
      </c>
      <c r="H131" s="3" t="s">
        <v>406</v>
      </c>
      <c r="I131" s="3" t="s">
        <v>20</v>
      </c>
      <c r="J131" s="3" t="s">
        <v>85</v>
      </c>
      <c r="K131" s="3" t="s">
        <v>37</v>
      </c>
      <c r="L131" s="3" t="s">
        <v>86</v>
      </c>
      <c r="M131" s="3" t="s">
        <v>48</v>
      </c>
      <c r="N131" s="3" t="s">
        <v>273</v>
      </c>
      <c r="O131" t="str">
        <f>"2025-01-01"</f>
        <v>2025-01-01</v>
      </c>
      <c r="P131" t="str">
        <f>"2025-12-31"</f>
        <v>2025-12-31</v>
      </c>
    </row>
    <row r="132" spans="1:16" x14ac:dyDescent="0.2">
      <c r="A132" t="str" cm="1">
        <f t="array" ref="A132">_xlfn.LET(
    _xlpm.txt, B132,
    _xlpm.chars, MID(_xlpm.txt, _xlfn.SEQUENCE(LEN(_xlpm.txt)), 1),
    _xlpm.filtered, _xlfn._xlws.FILTER(_xlpm.chars, NOT(ISNUMBER(SEARCH(_xlpm.chars, "ABCDEFGHIJKLMNOPQRSTUVWXYZabcdefghijklmnopqrstuvwxyz")))),
    _xlfn.TEXTJOIN("",, _xlpm.filtered)
)</f>
        <v>000276</v>
      </c>
      <c r="B132" s="3" t="s">
        <v>653</v>
      </c>
      <c r="C132" s="3" t="s">
        <v>654</v>
      </c>
      <c r="D132" s="4">
        <v>160</v>
      </c>
      <c r="E132" s="3" t="s">
        <v>655</v>
      </c>
      <c r="F132" s="3" t="s">
        <v>33</v>
      </c>
      <c r="G132" s="3" t="s">
        <v>656</v>
      </c>
      <c r="H132" s="3" t="s">
        <v>657</v>
      </c>
      <c r="I132" s="3" t="s">
        <v>20</v>
      </c>
      <c r="J132" s="3" t="s">
        <v>85</v>
      </c>
      <c r="K132" s="3" t="s">
        <v>647</v>
      </c>
      <c r="L132" s="3" t="s">
        <v>38</v>
      </c>
      <c r="M132" s="3" t="s">
        <v>62</v>
      </c>
      <c r="N132" s="3" t="s">
        <v>25</v>
      </c>
      <c r="O132" t="str">
        <f>"2025-01-01"</f>
        <v>2025-01-01</v>
      </c>
      <c r="P132" t="str">
        <f>"2025-12-31"</f>
        <v>2025-12-31</v>
      </c>
    </row>
    <row r="133" spans="1:16" x14ac:dyDescent="0.2">
      <c r="A133" t="str" cm="1">
        <f t="array" ref="A133">_xlfn.LET(
    _xlpm.txt, B133,
    _xlpm.chars, MID(_xlpm.txt, _xlfn.SEQUENCE(LEN(_xlpm.txt)), 1),
    _xlpm.filtered, _xlfn._xlws.FILTER(_xlpm.chars, NOT(ISNUMBER(SEARCH(_xlpm.chars, "ABCDEFGHIJKLMNOPQRSTUVWXYZabcdefghijklmnopqrstuvwxyz")))),
    _xlfn.TEXTJOIN("",, _xlpm.filtered)
)</f>
        <v>000278</v>
      </c>
      <c r="B133" s="3" t="s">
        <v>658</v>
      </c>
      <c r="C133" s="3" t="s">
        <v>659</v>
      </c>
      <c r="D133" s="4">
        <v>150</v>
      </c>
      <c r="E133" s="3" t="s">
        <v>605</v>
      </c>
      <c r="F133" s="3" t="s">
        <v>33</v>
      </c>
      <c r="G133" s="3" t="s">
        <v>660</v>
      </c>
      <c r="H133" s="3" t="s">
        <v>264</v>
      </c>
      <c r="I133" s="3" t="s">
        <v>20</v>
      </c>
      <c r="J133" s="3" t="s">
        <v>36</v>
      </c>
      <c r="K133" s="3" t="s">
        <v>37</v>
      </c>
      <c r="L133" s="3" t="s">
        <v>38</v>
      </c>
      <c r="M133" s="3" t="s">
        <v>126</v>
      </c>
      <c r="N133" s="3" t="s">
        <v>33</v>
      </c>
      <c r="O133" t="str">
        <f>"2025-01-01"</f>
        <v>2025-01-01</v>
      </c>
      <c r="P133" t="str">
        <f>"2025-12-31"</f>
        <v>2025-12-31</v>
      </c>
    </row>
    <row r="134" spans="1:16" x14ac:dyDescent="0.2">
      <c r="A134" t="str" cm="1">
        <f t="array" ref="A134">_xlfn.LET(
    _xlpm.txt, B134,
    _xlpm.chars, MID(_xlpm.txt, _xlfn.SEQUENCE(LEN(_xlpm.txt)), 1),
    _xlpm.filtered, _xlfn._xlws.FILTER(_xlpm.chars, NOT(ISNUMBER(SEARCH(_xlpm.chars, "ABCDEFGHIJKLMNOPQRSTUVWXYZabcdefghijklmnopqrstuvwxyz")))),
    _xlfn.TEXTJOIN("",, _xlpm.filtered)
)</f>
        <v>000279</v>
      </c>
      <c r="B134" s="3" t="s">
        <v>661</v>
      </c>
      <c r="C134" s="3" t="s">
        <v>662</v>
      </c>
      <c r="D134" s="4">
        <v>150</v>
      </c>
      <c r="E134" s="3" t="s">
        <v>663</v>
      </c>
      <c r="F134" s="3" t="s">
        <v>33</v>
      </c>
      <c r="G134" s="3" t="s">
        <v>664</v>
      </c>
      <c r="H134" s="3" t="s">
        <v>665</v>
      </c>
      <c r="I134" s="3" t="s">
        <v>20</v>
      </c>
      <c r="J134" s="3" t="s">
        <v>36</v>
      </c>
      <c r="K134" s="3" t="s">
        <v>377</v>
      </c>
      <c r="L134" s="3" t="s">
        <v>378</v>
      </c>
      <c r="M134" s="3" t="s">
        <v>377</v>
      </c>
      <c r="N134" s="3" t="s">
        <v>25</v>
      </c>
      <c r="O134" t="str">
        <f>"2025-05-15"</f>
        <v>2025-05-15</v>
      </c>
      <c r="P134" t="str">
        <f>"2026-05-14"</f>
        <v>2026-05-14</v>
      </c>
    </row>
    <row r="135" spans="1:16" x14ac:dyDescent="0.2">
      <c r="A135" t="str" cm="1">
        <f t="array" ref="A135">_xlfn.LET(
    _xlpm.txt, B135,
    _xlpm.chars, MID(_xlpm.txt, _xlfn.SEQUENCE(LEN(_xlpm.txt)), 1),
    _xlpm.filtered, _xlfn._xlws.FILTER(_xlpm.chars, NOT(ISNUMBER(SEARCH(_xlpm.chars, "ABCDEFGHIJKLMNOPQRSTUVWXYZabcdefghijklmnopqrstuvwxyz")))),
    _xlfn.TEXTJOIN("",, _xlpm.filtered)
)</f>
        <v>000281</v>
      </c>
      <c r="B135" s="3" t="s">
        <v>666</v>
      </c>
      <c r="C135" s="3" t="s">
        <v>667</v>
      </c>
      <c r="D135" s="4">
        <v>180</v>
      </c>
      <c r="E135" s="3" t="s">
        <v>668</v>
      </c>
      <c r="F135" s="3" t="s">
        <v>33</v>
      </c>
      <c r="G135" s="3" t="s">
        <v>669</v>
      </c>
      <c r="H135" s="3" t="s">
        <v>670</v>
      </c>
      <c r="I135" s="3" t="s">
        <v>20</v>
      </c>
      <c r="J135" s="3" t="s">
        <v>67</v>
      </c>
      <c r="K135" s="3" t="s">
        <v>295</v>
      </c>
      <c r="L135" s="3" t="s">
        <v>296</v>
      </c>
      <c r="M135" s="3" t="s">
        <v>296</v>
      </c>
      <c r="N135" s="3" t="s">
        <v>25</v>
      </c>
      <c r="O135" t="str">
        <f>"2025-10-01"</f>
        <v>2025-10-01</v>
      </c>
      <c r="P135" t="str">
        <f>"2026-09-30"</f>
        <v>2026-09-30</v>
      </c>
    </row>
    <row r="136" spans="1:16" x14ac:dyDescent="0.2">
      <c r="A136" t="str" cm="1">
        <f t="array" ref="A136">_xlfn.LET(
    _xlpm.txt, B136,
    _xlpm.chars, MID(_xlpm.txt, _xlfn.SEQUENCE(LEN(_xlpm.txt)), 1),
    _xlpm.filtered, _xlfn._xlws.FILTER(_xlpm.chars, NOT(ISNUMBER(SEARCH(_xlpm.chars, "ABCDEFGHIJKLMNOPQRSTUVWXYZabcdefghijklmnopqrstuvwxyz")))),
    _xlfn.TEXTJOIN("",, _xlpm.filtered)
)</f>
        <v>000282</v>
      </c>
      <c r="B136" s="3" t="s">
        <v>671</v>
      </c>
      <c r="C136" s="3" t="s">
        <v>672</v>
      </c>
      <c r="D136" s="4">
        <v>450</v>
      </c>
      <c r="E136" s="3" t="s">
        <v>33</v>
      </c>
      <c r="F136" s="3" t="s">
        <v>673</v>
      </c>
      <c r="G136" s="3" t="s">
        <v>674</v>
      </c>
      <c r="H136" s="3" t="s">
        <v>59</v>
      </c>
      <c r="I136" s="3" t="s">
        <v>20</v>
      </c>
      <c r="J136" s="3" t="s">
        <v>214</v>
      </c>
      <c r="K136" s="3" t="s">
        <v>37</v>
      </c>
      <c r="L136" s="3" t="s">
        <v>38</v>
      </c>
      <c r="M136" s="3" t="s">
        <v>144</v>
      </c>
      <c r="N136" s="3" t="s">
        <v>25</v>
      </c>
      <c r="O136" t="str">
        <f>"2025-06-01"</f>
        <v>2025-06-01</v>
      </c>
      <c r="P136" t="str">
        <f>"2026-05-31"</f>
        <v>2026-05-31</v>
      </c>
    </row>
    <row r="137" spans="1:16" x14ac:dyDescent="0.2">
      <c r="A137" t="str" cm="1">
        <f t="array" ref="A137">_xlfn.LET(
    _xlpm.txt, B137,
    _xlpm.chars, MID(_xlpm.txt, _xlfn.SEQUENCE(LEN(_xlpm.txt)), 1),
    _xlpm.filtered, _xlfn._xlws.FILTER(_xlpm.chars, NOT(ISNUMBER(SEARCH(_xlpm.chars, "ABCDEFGHIJKLMNOPQRSTUVWXYZabcdefghijklmnopqrstuvwxyz")))),
    _xlfn.TEXTJOIN("",, _xlpm.filtered)
)</f>
        <v>000283</v>
      </c>
      <c r="B137" s="3" t="s">
        <v>675</v>
      </c>
      <c r="C137" s="3" t="s">
        <v>15</v>
      </c>
      <c r="D137" s="4">
        <v>120</v>
      </c>
      <c r="E137" s="3" t="s">
        <v>641</v>
      </c>
      <c r="F137" s="3" t="s">
        <v>33</v>
      </c>
      <c r="G137" s="3" t="s">
        <v>676</v>
      </c>
      <c r="H137" s="3" t="s">
        <v>677</v>
      </c>
      <c r="I137" s="3" t="s">
        <v>20</v>
      </c>
      <c r="J137" s="3" t="s">
        <v>36</v>
      </c>
      <c r="K137" s="3" t="s">
        <v>37</v>
      </c>
      <c r="L137" s="3" t="s">
        <v>86</v>
      </c>
      <c r="M137" s="3" t="s">
        <v>87</v>
      </c>
      <c r="N137" s="3" t="s">
        <v>25</v>
      </c>
      <c r="O137" t="str">
        <f>"2025-01-01"</f>
        <v>2025-01-01</v>
      </c>
      <c r="P137" t="str">
        <f>"2025-12-31"</f>
        <v>2025-12-31</v>
      </c>
    </row>
    <row r="138" spans="1:16" x14ac:dyDescent="0.2">
      <c r="A138" t="str" cm="1">
        <f t="array" ref="A138">_xlfn.LET(
    _xlpm.txt, B138,
    _xlpm.chars, MID(_xlpm.txt, _xlfn.SEQUENCE(LEN(_xlpm.txt)), 1),
    _xlpm.filtered, _xlfn._xlws.FILTER(_xlpm.chars, NOT(ISNUMBER(SEARCH(_xlpm.chars, "ABCDEFGHIJKLMNOPQRSTUVWXYZabcdefghijklmnopqrstuvwxyz")))),
    _xlfn.TEXTJOIN("",, _xlpm.filtered)
)</f>
        <v>000284</v>
      </c>
      <c r="B138" s="3" t="s">
        <v>678</v>
      </c>
      <c r="C138" s="3" t="s">
        <v>679</v>
      </c>
      <c r="D138" s="4">
        <v>150</v>
      </c>
      <c r="E138" s="3" t="s">
        <v>680</v>
      </c>
      <c r="F138" s="3" t="s">
        <v>33</v>
      </c>
      <c r="G138" s="3" t="s">
        <v>681</v>
      </c>
      <c r="H138" s="3" t="s">
        <v>677</v>
      </c>
      <c r="I138" s="3" t="s">
        <v>20</v>
      </c>
      <c r="J138" s="3" t="s">
        <v>36</v>
      </c>
      <c r="K138" s="3" t="s">
        <v>37</v>
      </c>
      <c r="L138" s="3" t="s">
        <v>47</v>
      </c>
      <c r="M138" s="3" t="s">
        <v>682</v>
      </c>
      <c r="N138" s="3" t="s">
        <v>25</v>
      </c>
      <c r="O138" t="str">
        <f>"2025-11-20"</f>
        <v>2025-11-20</v>
      </c>
      <c r="P138" t="str">
        <f>"2026-11-19"</f>
        <v>2026-11-19</v>
      </c>
    </row>
    <row r="139" spans="1:16" x14ac:dyDescent="0.2">
      <c r="A139" t="str" cm="1">
        <f t="array" ref="A139">_xlfn.LET(
    _xlpm.txt, B139,
    _xlpm.chars, MID(_xlpm.txt, _xlfn.SEQUENCE(LEN(_xlpm.txt)), 1),
    _xlpm.filtered, _xlfn._xlws.FILTER(_xlpm.chars, NOT(ISNUMBER(SEARCH(_xlpm.chars, "ABCDEFGHIJKLMNOPQRSTUVWXYZabcdefghijklmnopqrstuvwxyz")))),
    _xlfn.TEXTJOIN("",, _xlpm.filtered)
)</f>
        <v>000285</v>
      </c>
      <c r="B139" s="3" t="s">
        <v>683</v>
      </c>
      <c r="C139" s="3" t="s">
        <v>684</v>
      </c>
      <c r="D139" s="4">
        <v>180</v>
      </c>
      <c r="E139" s="3" t="s">
        <v>685</v>
      </c>
      <c r="F139" s="3" t="s">
        <v>33</v>
      </c>
      <c r="G139" s="3" t="s">
        <v>686</v>
      </c>
      <c r="H139" s="3" t="s">
        <v>677</v>
      </c>
      <c r="I139" s="3" t="s">
        <v>20</v>
      </c>
      <c r="J139" s="3" t="s">
        <v>36</v>
      </c>
      <c r="K139" s="3" t="s">
        <v>37</v>
      </c>
      <c r="L139" s="3" t="s">
        <v>47</v>
      </c>
      <c r="M139" s="3" t="s">
        <v>24</v>
      </c>
      <c r="N139" s="3" t="s">
        <v>25</v>
      </c>
      <c r="O139" t="str">
        <f>"2025-10-01"</f>
        <v>2025-10-01</v>
      </c>
      <c r="P139" t="str">
        <f>"2026-09-30"</f>
        <v>2026-09-30</v>
      </c>
    </row>
    <row r="140" spans="1:16" x14ac:dyDescent="0.2">
      <c r="A140" t="str" cm="1">
        <f t="array" ref="A140">_xlfn.LET(
    _xlpm.txt, B140,
    _xlpm.chars, MID(_xlpm.txt, _xlfn.SEQUENCE(LEN(_xlpm.txt)), 1),
    _xlpm.filtered, _xlfn._xlws.FILTER(_xlpm.chars, NOT(ISNUMBER(SEARCH(_xlpm.chars, "ABCDEFGHIJKLMNOPQRSTUVWXYZabcdefghijklmnopqrstuvwxyz")))),
    _xlfn.TEXTJOIN("",, _xlpm.filtered)
)</f>
        <v>000286</v>
      </c>
      <c r="B140" s="3" t="s">
        <v>687</v>
      </c>
      <c r="C140" s="3" t="s">
        <v>15</v>
      </c>
      <c r="D140" s="4">
        <v>120</v>
      </c>
      <c r="E140" s="3" t="s">
        <v>28</v>
      </c>
      <c r="F140" s="3" t="s">
        <v>688</v>
      </c>
      <c r="G140" s="3" t="s">
        <v>689</v>
      </c>
      <c r="H140" s="3" t="s">
        <v>677</v>
      </c>
      <c r="I140" s="3" t="s">
        <v>20</v>
      </c>
      <c r="J140" s="3" t="s">
        <v>36</v>
      </c>
      <c r="K140" s="3" t="s">
        <v>37</v>
      </c>
      <c r="L140" s="3" t="s">
        <v>86</v>
      </c>
      <c r="M140" s="3" t="s">
        <v>24</v>
      </c>
      <c r="N140" s="3" t="s">
        <v>25</v>
      </c>
      <c r="O140" t="str">
        <f>"2025-01-01"</f>
        <v>2025-01-01</v>
      </c>
      <c r="P140" t="str">
        <f>"2025-12-31"</f>
        <v>2025-12-31</v>
      </c>
    </row>
    <row r="141" spans="1:16" x14ac:dyDescent="0.2">
      <c r="A141" t="str" cm="1">
        <f t="array" ref="A141">_xlfn.LET(
    _xlpm.txt, B141,
    _xlpm.chars, MID(_xlpm.txt, _xlfn.SEQUENCE(LEN(_xlpm.txt)), 1),
    _xlpm.filtered, _xlfn._xlws.FILTER(_xlpm.chars, NOT(ISNUMBER(SEARCH(_xlpm.chars, "ABCDEFGHIJKLMNOPQRSTUVWXYZabcdefghijklmnopqrstuvwxyz")))),
    _xlfn.TEXTJOIN("",, _xlpm.filtered)
)</f>
        <v>000288</v>
      </c>
      <c r="B141" s="3" t="s">
        <v>690</v>
      </c>
      <c r="C141" s="3" t="s">
        <v>632</v>
      </c>
      <c r="D141" s="4">
        <v>185</v>
      </c>
      <c r="E141" s="3" t="s">
        <v>633</v>
      </c>
      <c r="F141" s="3" t="s">
        <v>691</v>
      </c>
      <c r="G141" s="3" t="s">
        <v>692</v>
      </c>
      <c r="H141" s="3" t="s">
        <v>132</v>
      </c>
      <c r="I141" s="3" t="s">
        <v>20</v>
      </c>
      <c r="J141" s="3" t="s">
        <v>73</v>
      </c>
      <c r="K141" s="3" t="s">
        <v>46</v>
      </c>
      <c r="L141" s="3" t="s">
        <v>174</v>
      </c>
      <c r="M141" s="3" t="s">
        <v>48</v>
      </c>
      <c r="N141" s="3" t="s">
        <v>25</v>
      </c>
      <c r="O141" t="str">
        <f>"2025-05-15"</f>
        <v>2025-05-15</v>
      </c>
      <c r="P141" t="str">
        <f>"2026-05-14"</f>
        <v>2026-05-14</v>
      </c>
    </row>
    <row r="142" spans="1:16" x14ac:dyDescent="0.2">
      <c r="A142" t="str" cm="1">
        <f t="array" ref="A142">_xlfn.LET(
    _xlpm.txt, B142,
    _xlpm.chars, MID(_xlpm.txt, _xlfn.SEQUENCE(LEN(_xlpm.txt)), 1),
    _xlpm.filtered, _xlfn._xlws.FILTER(_xlpm.chars, NOT(ISNUMBER(SEARCH(_xlpm.chars, "ABCDEFGHIJKLMNOPQRSTUVWXYZabcdefghijklmnopqrstuvwxyz")))),
    _xlfn.TEXTJOIN("",, _xlpm.filtered)
)</f>
        <v>000289</v>
      </c>
      <c r="B142" s="3" t="s">
        <v>693</v>
      </c>
      <c r="C142" s="3" t="s">
        <v>694</v>
      </c>
      <c r="D142" s="4">
        <v>160</v>
      </c>
      <c r="E142" s="3" t="s">
        <v>695</v>
      </c>
      <c r="F142" s="3" t="s">
        <v>33</v>
      </c>
      <c r="G142" s="3" t="s">
        <v>696</v>
      </c>
      <c r="H142" s="3" t="s">
        <v>677</v>
      </c>
      <c r="I142" s="3" t="s">
        <v>20</v>
      </c>
      <c r="J142" s="3" t="s">
        <v>36</v>
      </c>
      <c r="K142" s="3" t="s">
        <v>46</v>
      </c>
      <c r="L142" s="3" t="s">
        <v>38</v>
      </c>
      <c r="M142" s="3" t="s">
        <v>697</v>
      </c>
      <c r="N142" s="3" t="s">
        <v>25</v>
      </c>
      <c r="O142" t="str">
        <f>"2025-07-01"</f>
        <v>2025-07-01</v>
      </c>
      <c r="P142" t="str">
        <f>"2026-06-30"</f>
        <v>2026-06-30</v>
      </c>
    </row>
    <row r="143" spans="1:16" x14ac:dyDescent="0.2">
      <c r="A143" t="str" cm="1">
        <f t="array" ref="A143">_xlfn.LET(
    _xlpm.txt, B143,
    _xlpm.chars, MID(_xlpm.txt, _xlfn.SEQUENCE(LEN(_xlpm.txt)), 1),
    _xlpm.filtered, _xlfn._xlws.FILTER(_xlpm.chars, NOT(ISNUMBER(SEARCH(_xlpm.chars, "ABCDEFGHIJKLMNOPQRSTUVWXYZabcdefghijklmnopqrstuvwxyz")))),
    _xlfn.TEXTJOIN("",, _xlpm.filtered)
)</f>
        <v>000290</v>
      </c>
      <c r="B143" s="3" t="s">
        <v>698</v>
      </c>
      <c r="C143" s="3" t="s">
        <v>699</v>
      </c>
      <c r="D143" s="4">
        <v>250</v>
      </c>
      <c r="E143" s="3" t="s">
        <v>700</v>
      </c>
      <c r="F143" s="3" t="s">
        <v>701</v>
      </c>
      <c r="G143" s="3" t="s">
        <v>702</v>
      </c>
      <c r="H143" s="3" t="s">
        <v>308</v>
      </c>
      <c r="I143" s="3" t="s">
        <v>20</v>
      </c>
      <c r="J143" s="3" t="s">
        <v>67</v>
      </c>
      <c r="K143" s="3" t="s">
        <v>37</v>
      </c>
      <c r="L143" s="3" t="s">
        <v>23</v>
      </c>
      <c r="M143" s="3" t="s">
        <v>48</v>
      </c>
      <c r="N143" s="3" t="s">
        <v>25</v>
      </c>
      <c r="O143" t="str">
        <f>"2025-04-10"</f>
        <v>2025-04-10</v>
      </c>
      <c r="P143" t="str">
        <f>"2026-04-09"</f>
        <v>2026-04-09</v>
      </c>
    </row>
    <row r="144" spans="1:16" x14ac:dyDescent="0.2">
      <c r="A144" t="str" cm="1">
        <f t="array" ref="A144">_xlfn.LET(
    _xlpm.txt, B144,
    _xlpm.chars, MID(_xlpm.txt, _xlfn.SEQUENCE(LEN(_xlpm.txt)), 1),
    _xlpm.filtered, _xlfn._xlws.FILTER(_xlpm.chars, NOT(ISNUMBER(SEARCH(_xlpm.chars, "ABCDEFGHIJKLMNOPQRSTUVWXYZabcdefghijklmnopqrstuvwxyz")))),
    _xlfn.TEXTJOIN("",, _xlpm.filtered)
)</f>
        <v>000291</v>
      </c>
      <c r="B144" s="3" t="s">
        <v>703</v>
      </c>
      <c r="C144" s="3" t="s">
        <v>704</v>
      </c>
      <c r="D144" s="4">
        <v>350</v>
      </c>
      <c r="E144" s="3" t="s">
        <v>705</v>
      </c>
      <c r="F144" s="3" t="s">
        <v>706</v>
      </c>
      <c r="G144" s="3" t="s">
        <v>707</v>
      </c>
      <c r="H144" s="3" t="s">
        <v>59</v>
      </c>
      <c r="I144" s="3" t="s">
        <v>20</v>
      </c>
      <c r="J144" s="3" t="s">
        <v>21</v>
      </c>
      <c r="K144" s="3" t="s">
        <v>377</v>
      </c>
      <c r="L144" s="3" t="s">
        <v>38</v>
      </c>
      <c r="M144" s="3" t="s">
        <v>401</v>
      </c>
      <c r="N144" s="3" t="s">
        <v>25</v>
      </c>
      <c r="O144" t="str">
        <f>"2025-07-01"</f>
        <v>2025-07-01</v>
      </c>
      <c r="P144" t="str">
        <f>"2026-06-30"</f>
        <v>2026-06-30</v>
      </c>
    </row>
    <row r="145" spans="1:16" x14ac:dyDescent="0.2">
      <c r="A145" t="str" cm="1">
        <f t="array" ref="A145">_xlfn.LET(
    _xlpm.txt, B145,
    _xlpm.chars, MID(_xlpm.txt, _xlfn.SEQUENCE(LEN(_xlpm.txt)), 1),
    _xlpm.filtered, _xlfn._xlws.FILTER(_xlpm.chars, NOT(ISNUMBER(SEARCH(_xlpm.chars, "ABCDEFGHIJKLMNOPQRSTUVWXYZabcdefghijklmnopqrstuvwxyz")))),
    _xlfn.TEXTJOIN("",, _xlpm.filtered)
)</f>
        <v>000292</v>
      </c>
      <c r="B145" s="3" t="s">
        <v>708</v>
      </c>
      <c r="C145" s="3" t="s">
        <v>704</v>
      </c>
      <c r="D145" s="4">
        <v>350</v>
      </c>
      <c r="E145" s="3" t="s">
        <v>705</v>
      </c>
      <c r="F145" s="3" t="s">
        <v>706</v>
      </c>
      <c r="G145" s="3" t="s">
        <v>709</v>
      </c>
      <c r="H145" s="3" t="s">
        <v>59</v>
      </c>
      <c r="I145" s="3" t="s">
        <v>20</v>
      </c>
      <c r="J145" s="3" t="s">
        <v>214</v>
      </c>
      <c r="K145" s="3" t="s">
        <v>22</v>
      </c>
      <c r="L145" s="3" t="s">
        <v>290</v>
      </c>
      <c r="M145" s="3" t="s">
        <v>401</v>
      </c>
      <c r="N145" s="3" t="s">
        <v>25</v>
      </c>
      <c r="O145" t="str">
        <f>"2025-07-01"</f>
        <v>2025-07-01</v>
      </c>
      <c r="P145" t="str">
        <f>"2026-06-30"</f>
        <v>2026-06-30</v>
      </c>
    </row>
    <row r="146" spans="1:16" x14ac:dyDescent="0.2">
      <c r="A146" t="str" cm="1">
        <f t="array" ref="A146">_xlfn.LET(
    _xlpm.txt, B146,
    _xlpm.chars, MID(_xlpm.txt, _xlfn.SEQUENCE(LEN(_xlpm.txt)), 1),
    _xlpm.filtered, _xlfn._xlws.FILTER(_xlpm.chars, NOT(ISNUMBER(SEARCH(_xlpm.chars, "ABCDEFGHIJKLMNOPQRSTUVWXYZabcdefghijklmnopqrstuvwxyz")))),
    _xlfn.TEXTJOIN("",, _xlpm.filtered)
)</f>
        <v>000294</v>
      </c>
      <c r="B146" s="3" t="s">
        <v>710</v>
      </c>
      <c r="C146" s="3" t="s">
        <v>711</v>
      </c>
      <c r="D146" s="4">
        <v>130</v>
      </c>
      <c r="E146" s="3" t="s">
        <v>712</v>
      </c>
      <c r="F146" s="3" t="s">
        <v>713</v>
      </c>
      <c r="G146" s="3" t="s">
        <v>714</v>
      </c>
      <c r="H146" s="3" t="s">
        <v>623</v>
      </c>
      <c r="I146" s="3" t="s">
        <v>20</v>
      </c>
      <c r="J146" s="3" t="s">
        <v>67</v>
      </c>
      <c r="K146" s="3" t="s">
        <v>37</v>
      </c>
      <c r="L146" s="3" t="s">
        <v>38</v>
      </c>
      <c r="M146" s="3" t="s">
        <v>48</v>
      </c>
      <c r="N146" s="3" t="s">
        <v>25</v>
      </c>
      <c r="O146" t="str">
        <f>"2024-10-10"</f>
        <v>2024-10-10</v>
      </c>
      <c r="P146" t="str">
        <f>"2025-10-09"</f>
        <v>2025-10-09</v>
      </c>
    </row>
    <row r="147" spans="1:16" x14ac:dyDescent="0.2">
      <c r="A147" t="str" cm="1">
        <f t="array" ref="A147">_xlfn.LET(
    _xlpm.txt, B147,
    _xlpm.chars, MID(_xlpm.txt, _xlfn.SEQUENCE(LEN(_xlpm.txt)), 1),
    _xlpm.filtered, _xlfn._xlws.FILTER(_xlpm.chars, NOT(ISNUMBER(SEARCH(_xlpm.chars, "ABCDEFGHIJKLMNOPQRSTUVWXYZabcdefghijklmnopqrstuvwxyz")))),
    _xlfn.TEXTJOIN("",, _xlpm.filtered)
)</f>
        <v>000295</v>
      </c>
      <c r="B147" s="3" t="s">
        <v>715</v>
      </c>
      <c r="C147" s="3" t="s">
        <v>716</v>
      </c>
      <c r="D147" s="4">
        <v>330</v>
      </c>
      <c r="E147" s="3" t="s">
        <v>717</v>
      </c>
      <c r="F147" s="3" t="s">
        <v>718</v>
      </c>
      <c r="G147" s="3" t="s">
        <v>719</v>
      </c>
      <c r="H147" s="3" t="s">
        <v>59</v>
      </c>
      <c r="I147" s="3" t="s">
        <v>20</v>
      </c>
      <c r="J147" s="3" t="s">
        <v>214</v>
      </c>
      <c r="K147" s="3" t="s">
        <v>215</v>
      </c>
      <c r="L147" s="3" t="s">
        <v>23</v>
      </c>
      <c r="M147" s="3" t="s">
        <v>24</v>
      </c>
      <c r="N147" s="3" t="s">
        <v>25</v>
      </c>
      <c r="O147" t="str">
        <f>"2025-03-15"</f>
        <v>2025-03-15</v>
      </c>
      <c r="P147" t="str">
        <f>"2026-03-14"</f>
        <v>2026-03-14</v>
      </c>
    </row>
    <row r="148" spans="1:16" x14ac:dyDescent="0.2">
      <c r="A148" t="str" cm="1">
        <f t="array" ref="A148">_xlfn.LET(
    _xlpm.txt, B148,
    _xlpm.chars, MID(_xlpm.txt, _xlfn.SEQUENCE(LEN(_xlpm.txt)), 1),
    _xlpm.filtered, _xlfn._xlws.FILTER(_xlpm.chars, NOT(ISNUMBER(SEARCH(_xlpm.chars, "ABCDEFGHIJKLMNOPQRSTUVWXYZabcdefghijklmnopqrstuvwxyz")))),
    _xlfn.TEXTJOIN("",, _xlpm.filtered)
)</f>
        <v>000296</v>
      </c>
      <c r="B148" s="3" t="s">
        <v>720</v>
      </c>
      <c r="C148" s="3" t="s">
        <v>261</v>
      </c>
      <c r="D148" s="4">
        <v>300</v>
      </c>
      <c r="E148" s="3" t="s">
        <v>262</v>
      </c>
      <c r="F148" s="3" t="s">
        <v>721</v>
      </c>
      <c r="G148" s="3" t="s">
        <v>722</v>
      </c>
      <c r="H148" s="3" t="s">
        <v>132</v>
      </c>
      <c r="I148" s="3" t="s">
        <v>20</v>
      </c>
      <c r="J148" s="3" t="s">
        <v>60</v>
      </c>
      <c r="K148" s="3" t="s">
        <v>37</v>
      </c>
      <c r="L148" s="3" t="s">
        <v>38</v>
      </c>
      <c r="M148" s="3" t="s">
        <v>24</v>
      </c>
      <c r="N148" s="3" t="s">
        <v>25</v>
      </c>
      <c r="O148" t="str">
        <f>"2025-04-01"</f>
        <v>2025-04-01</v>
      </c>
      <c r="P148" t="str">
        <f>"2026-03-31"</f>
        <v>2026-03-31</v>
      </c>
    </row>
    <row r="149" spans="1:16" x14ac:dyDescent="0.2">
      <c r="A149" t="str" cm="1">
        <f t="array" ref="A149">_xlfn.LET(
    _xlpm.txt, B149,
    _xlpm.chars, MID(_xlpm.txt, _xlfn.SEQUENCE(LEN(_xlpm.txt)), 1),
    _xlpm.filtered, _xlfn._xlws.FILTER(_xlpm.chars, NOT(ISNUMBER(SEARCH(_xlpm.chars, "ABCDEFGHIJKLMNOPQRSTUVWXYZabcdefghijklmnopqrstuvwxyz")))),
    _xlfn.TEXTJOIN("",, _xlpm.filtered)
)</f>
        <v>000297</v>
      </c>
      <c r="B149" s="3" t="s">
        <v>723</v>
      </c>
      <c r="C149" s="3" t="s">
        <v>724</v>
      </c>
      <c r="D149" s="4">
        <v>500</v>
      </c>
      <c r="E149" s="3" t="s">
        <v>725</v>
      </c>
      <c r="F149" s="3" t="s">
        <v>726</v>
      </c>
      <c r="G149" s="3" t="s">
        <v>727</v>
      </c>
      <c r="H149" s="3" t="s">
        <v>84</v>
      </c>
      <c r="I149" s="3" t="s">
        <v>20</v>
      </c>
      <c r="J149" s="3" t="s">
        <v>214</v>
      </c>
      <c r="K149" s="3" t="s">
        <v>156</v>
      </c>
      <c r="L149" s="3" t="s">
        <v>156</v>
      </c>
      <c r="M149" s="3" t="s">
        <v>156</v>
      </c>
      <c r="N149" s="3" t="s">
        <v>25</v>
      </c>
      <c r="O149" t="str">
        <f>"2025-01-01"</f>
        <v>2025-01-01</v>
      </c>
      <c r="P149" t="str">
        <f>"2025-12-31"</f>
        <v>2025-12-31</v>
      </c>
    </row>
    <row r="150" spans="1:16" x14ac:dyDescent="0.2">
      <c r="A150" t="str" cm="1">
        <f t="array" ref="A150">_xlfn.LET(
    _xlpm.txt, B150,
    _xlpm.chars, MID(_xlpm.txt, _xlfn.SEQUENCE(LEN(_xlpm.txt)), 1),
    _xlpm.filtered, _xlfn._xlws.FILTER(_xlpm.chars, NOT(ISNUMBER(SEARCH(_xlpm.chars, "ABCDEFGHIJKLMNOPQRSTUVWXYZabcdefghijklmnopqrstuvwxyz")))),
    _xlfn.TEXTJOIN("",, _xlpm.filtered)
)</f>
        <v>000298</v>
      </c>
      <c r="B150" s="3" t="s">
        <v>728</v>
      </c>
      <c r="C150" s="3" t="s">
        <v>729</v>
      </c>
      <c r="D150" s="4">
        <v>180</v>
      </c>
      <c r="E150" s="3" t="s">
        <v>730</v>
      </c>
      <c r="F150" s="3" t="s">
        <v>33</v>
      </c>
      <c r="G150" s="3" t="s">
        <v>731</v>
      </c>
      <c r="H150" s="3" t="s">
        <v>623</v>
      </c>
      <c r="I150" s="3" t="s">
        <v>20</v>
      </c>
      <c r="J150" s="3" t="s">
        <v>36</v>
      </c>
      <c r="K150" s="3" t="s">
        <v>37</v>
      </c>
      <c r="L150" s="3" t="s">
        <v>47</v>
      </c>
      <c r="M150" s="3" t="s">
        <v>126</v>
      </c>
      <c r="N150" s="3" t="s">
        <v>25</v>
      </c>
      <c r="O150" t="str">
        <f>"2024-05-01"</f>
        <v>2024-05-01</v>
      </c>
      <c r="P150" t="str">
        <f>"2025-04-30"</f>
        <v>2025-04-30</v>
      </c>
    </row>
    <row r="151" spans="1:16" x14ac:dyDescent="0.2">
      <c r="A151" t="str" cm="1">
        <f t="array" ref="A151">_xlfn.LET(
    _xlpm.txt, B151,
    _xlpm.chars, MID(_xlpm.txt, _xlfn.SEQUENCE(LEN(_xlpm.txt)), 1),
    _xlpm.filtered, _xlfn._xlws.FILTER(_xlpm.chars, NOT(ISNUMBER(SEARCH(_xlpm.chars, "ABCDEFGHIJKLMNOPQRSTUVWXYZabcdefghijklmnopqrstuvwxyz")))),
    _xlfn.TEXTJOIN("",, _xlpm.filtered)
)</f>
        <v>000299</v>
      </c>
      <c r="B151" s="3" t="s">
        <v>732</v>
      </c>
      <c r="C151" s="3" t="s">
        <v>733</v>
      </c>
      <c r="D151" s="4">
        <v>160</v>
      </c>
      <c r="E151" s="3" t="s">
        <v>734</v>
      </c>
      <c r="F151" s="3" t="s">
        <v>33</v>
      </c>
      <c r="G151" s="3" t="s">
        <v>735</v>
      </c>
      <c r="H151" s="3" t="s">
        <v>736</v>
      </c>
      <c r="I151" s="3" t="s">
        <v>20</v>
      </c>
      <c r="J151" s="3" t="s">
        <v>67</v>
      </c>
      <c r="K151" s="3" t="s">
        <v>37</v>
      </c>
      <c r="L151" s="3" t="s">
        <v>47</v>
      </c>
      <c r="M151" s="3" t="s">
        <v>737</v>
      </c>
      <c r="N151" s="3" t="s">
        <v>25</v>
      </c>
      <c r="O151" t="str">
        <f>"2025-06-15"</f>
        <v>2025-06-15</v>
      </c>
      <c r="P151" t="str">
        <f>"2026-06-14"</f>
        <v>2026-06-14</v>
      </c>
    </row>
    <row r="152" spans="1:16" x14ac:dyDescent="0.2">
      <c r="A152" t="str" cm="1">
        <f t="array" ref="A152">_xlfn.LET(
    _xlpm.txt, B152,
    _xlpm.chars, MID(_xlpm.txt, _xlfn.SEQUENCE(LEN(_xlpm.txt)), 1),
    _xlpm.filtered, _xlfn._xlws.FILTER(_xlpm.chars, NOT(ISNUMBER(SEARCH(_xlpm.chars, "ABCDEFGHIJKLMNOPQRSTUVWXYZabcdefghijklmnopqrstuvwxyz")))),
    _xlfn.TEXTJOIN("",, _xlpm.filtered)
)</f>
        <v>000300</v>
      </c>
      <c r="B152" s="3" t="s">
        <v>738</v>
      </c>
      <c r="C152" s="3" t="s">
        <v>261</v>
      </c>
      <c r="D152" s="4">
        <v>150</v>
      </c>
      <c r="E152" s="3" t="s">
        <v>262</v>
      </c>
      <c r="F152" s="3" t="s">
        <v>739</v>
      </c>
      <c r="G152" s="3" t="s">
        <v>740</v>
      </c>
      <c r="H152" s="3" t="s">
        <v>132</v>
      </c>
      <c r="I152" s="3" t="s">
        <v>20</v>
      </c>
      <c r="J152" s="3" t="s">
        <v>73</v>
      </c>
      <c r="K152" s="3" t="s">
        <v>46</v>
      </c>
      <c r="L152" s="3" t="s">
        <v>38</v>
      </c>
      <c r="M152" s="3" t="s">
        <v>24</v>
      </c>
      <c r="N152" s="3" t="s">
        <v>25</v>
      </c>
      <c r="O152" t="str">
        <f>"2025-07-15"</f>
        <v>2025-07-15</v>
      </c>
      <c r="P152" t="str">
        <f>"2026-07-14"</f>
        <v>2026-07-14</v>
      </c>
    </row>
    <row r="153" spans="1:16" x14ac:dyDescent="0.2">
      <c r="A153" t="str" cm="1">
        <f t="array" ref="A153">_xlfn.LET(
    _xlpm.txt, B153,
    _xlpm.chars, MID(_xlpm.txt, _xlfn.SEQUENCE(LEN(_xlpm.txt)), 1),
    _xlpm.filtered, _xlfn._xlws.FILTER(_xlpm.chars, NOT(ISNUMBER(SEARCH(_xlpm.chars, "ABCDEFGHIJKLMNOPQRSTUVWXYZabcdefghijklmnopqrstuvwxyz")))),
    _xlfn.TEXTJOIN("",, _xlpm.filtered)
)</f>
        <v>000301</v>
      </c>
      <c r="B153" s="3" t="s">
        <v>741</v>
      </c>
      <c r="C153" s="3" t="s">
        <v>742</v>
      </c>
      <c r="D153" s="4">
        <v>200</v>
      </c>
      <c r="E153" s="3" t="s">
        <v>743</v>
      </c>
      <c r="F153" s="3" t="s">
        <v>33</v>
      </c>
      <c r="G153" s="3" t="s">
        <v>744</v>
      </c>
      <c r="H153" s="3" t="s">
        <v>155</v>
      </c>
      <c r="I153" s="3" t="s">
        <v>20</v>
      </c>
      <c r="J153" s="3" t="s">
        <v>73</v>
      </c>
      <c r="K153" s="3" t="s">
        <v>46</v>
      </c>
      <c r="L153" s="3" t="s">
        <v>47</v>
      </c>
      <c r="M153" s="3" t="s">
        <v>24</v>
      </c>
      <c r="N153" s="3" t="s">
        <v>25</v>
      </c>
      <c r="O153" t="str">
        <f>"2025-06-15"</f>
        <v>2025-06-15</v>
      </c>
      <c r="P153" t="str">
        <f>"2026-06-14"</f>
        <v>2026-06-14</v>
      </c>
    </row>
    <row r="154" spans="1:16" x14ac:dyDescent="0.2">
      <c r="A154" t="str" cm="1">
        <f t="array" ref="A154">_xlfn.LET(
    _xlpm.txt, B154,
    _xlpm.chars, MID(_xlpm.txt, _xlfn.SEQUENCE(LEN(_xlpm.txt)), 1),
    _xlpm.filtered, _xlfn._xlws.FILTER(_xlpm.chars, NOT(ISNUMBER(SEARCH(_xlpm.chars, "ABCDEFGHIJKLMNOPQRSTUVWXYZabcdefghijklmnopqrstuvwxyz")))),
    _xlfn.TEXTJOIN("",, _xlpm.filtered)
)</f>
        <v>000302</v>
      </c>
      <c r="B154" s="3" t="s">
        <v>745</v>
      </c>
      <c r="C154" s="3" t="s">
        <v>746</v>
      </c>
      <c r="D154" s="4">
        <v>200</v>
      </c>
      <c r="E154" s="3" t="s">
        <v>747</v>
      </c>
      <c r="F154" s="3" t="s">
        <v>748</v>
      </c>
      <c r="G154" s="3" t="s">
        <v>749</v>
      </c>
      <c r="H154" s="3" t="s">
        <v>84</v>
      </c>
      <c r="I154" s="3" t="s">
        <v>20</v>
      </c>
      <c r="J154" s="3" t="s">
        <v>60</v>
      </c>
      <c r="K154" s="3" t="s">
        <v>37</v>
      </c>
      <c r="L154" s="3" t="s">
        <v>750</v>
      </c>
      <c r="M154" s="3" t="s">
        <v>48</v>
      </c>
      <c r="N154" s="3" t="s">
        <v>25</v>
      </c>
      <c r="O154" t="str">
        <f>"2024-08-01"</f>
        <v>2024-08-01</v>
      </c>
      <c r="P154" t="str">
        <f>"2025-07-31"</f>
        <v>2025-07-31</v>
      </c>
    </row>
    <row r="155" spans="1:16" x14ac:dyDescent="0.2">
      <c r="A155" t="str" cm="1">
        <f t="array" ref="A155">_xlfn.LET(
    _xlpm.txt, B155,
    _xlpm.chars, MID(_xlpm.txt, _xlfn.SEQUENCE(LEN(_xlpm.txt)), 1),
    _xlpm.filtered, _xlfn._xlws.FILTER(_xlpm.chars, NOT(ISNUMBER(SEARCH(_xlpm.chars, "ABCDEFGHIJKLMNOPQRSTUVWXYZabcdefghijklmnopqrstuvwxyz")))),
    _xlfn.TEXTJOIN("",, _xlpm.filtered)
)</f>
        <v>000303</v>
      </c>
      <c r="B155" s="3" t="s">
        <v>751</v>
      </c>
      <c r="C155" s="3" t="s">
        <v>752</v>
      </c>
      <c r="D155" s="4">
        <v>680</v>
      </c>
      <c r="E155" s="3" t="s">
        <v>188</v>
      </c>
      <c r="F155" s="3" t="s">
        <v>753</v>
      </c>
      <c r="G155" s="3" t="s">
        <v>754</v>
      </c>
      <c r="H155" s="3" t="s">
        <v>84</v>
      </c>
      <c r="I155" s="3" t="s">
        <v>20</v>
      </c>
      <c r="J155" s="3" t="s">
        <v>214</v>
      </c>
      <c r="K155" s="3" t="s">
        <v>22</v>
      </c>
      <c r="L155" s="3" t="s">
        <v>23</v>
      </c>
      <c r="M155" s="3" t="s">
        <v>33</v>
      </c>
      <c r="N155" s="3" t="s">
        <v>25</v>
      </c>
      <c r="O155" t="str">
        <f>"2025-01-01"</f>
        <v>2025-01-01</v>
      </c>
      <c r="P155" t="str">
        <f>"2026-12-31"</f>
        <v>2026-12-31</v>
      </c>
    </row>
    <row r="156" spans="1:16" x14ac:dyDescent="0.2">
      <c r="A156" t="str" cm="1">
        <f t="array" ref="A156">_xlfn.LET(
    _xlpm.txt, B156,
    _xlpm.chars, MID(_xlpm.txt, _xlfn.SEQUENCE(LEN(_xlpm.txt)), 1),
    _xlpm.filtered, _xlfn._xlws.FILTER(_xlpm.chars, NOT(ISNUMBER(SEARCH(_xlpm.chars, "ABCDEFGHIJKLMNOPQRSTUVWXYZabcdefghijklmnopqrstuvwxyz")))),
    _xlfn.TEXTJOIN("",, _xlpm.filtered)
)</f>
        <v>000304</v>
      </c>
      <c r="B156" s="3" t="s">
        <v>755</v>
      </c>
      <c r="C156" s="3" t="s">
        <v>128</v>
      </c>
      <c r="D156" s="4">
        <v>450</v>
      </c>
      <c r="E156" s="3" t="s">
        <v>129</v>
      </c>
      <c r="F156" s="3" t="s">
        <v>756</v>
      </c>
      <c r="G156" s="3" t="s">
        <v>757</v>
      </c>
      <c r="H156" s="3" t="s">
        <v>132</v>
      </c>
      <c r="I156" s="3" t="s">
        <v>20</v>
      </c>
      <c r="J156" s="3" t="s">
        <v>119</v>
      </c>
      <c r="K156" s="3" t="s">
        <v>37</v>
      </c>
      <c r="L156" s="3" t="s">
        <v>23</v>
      </c>
      <c r="M156" s="3" t="s">
        <v>24</v>
      </c>
      <c r="N156" s="3" t="s">
        <v>25</v>
      </c>
      <c r="O156" t="str">
        <f>"2024-12-11"</f>
        <v>2024-12-11</v>
      </c>
      <c r="P156" t="str">
        <f>"2025-12-10"</f>
        <v>2025-12-10</v>
      </c>
    </row>
    <row r="157" spans="1:16" x14ac:dyDescent="0.2">
      <c r="A157" t="str" cm="1">
        <f t="array" ref="A157">_xlfn.LET(
    _xlpm.txt, B157,
    _xlpm.chars, MID(_xlpm.txt, _xlfn.SEQUENCE(LEN(_xlpm.txt)), 1),
    _xlpm.filtered, _xlfn._xlws.FILTER(_xlpm.chars, NOT(ISNUMBER(SEARCH(_xlpm.chars, "ABCDEFGHIJKLMNOPQRSTUVWXYZabcdefghijklmnopqrstuvwxyz")))),
    _xlfn.TEXTJOIN("",, _xlpm.filtered)
)</f>
        <v>000305</v>
      </c>
      <c r="B157" s="3" t="s">
        <v>758</v>
      </c>
      <c r="C157" s="3" t="s">
        <v>121</v>
      </c>
      <c r="D157" s="4">
        <v>300</v>
      </c>
      <c r="E157" s="3" t="s">
        <v>122</v>
      </c>
      <c r="F157" s="3" t="s">
        <v>33</v>
      </c>
      <c r="G157" s="3" t="s">
        <v>759</v>
      </c>
      <c r="H157" s="3" t="s">
        <v>132</v>
      </c>
      <c r="I157" s="3" t="s">
        <v>20</v>
      </c>
      <c r="J157" s="3" t="s">
        <v>60</v>
      </c>
      <c r="K157" s="3" t="s">
        <v>295</v>
      </c>
      <c r="L157" s="3" t="s">
        <v>296</v>
      </c>
      <c r="M157" s="3" t="s">
        <v>297</v>
      </c>
      <c r="N157" s="3" t="s">
        <v>25</v>
      </c>
      <c r="O157" t="str">
        <f>"2025-02-16"</f>
        <v>2025-02-16</v>
      </c>
      <c r="P157" t="str">
        <f>"2026-02-15"</f>
        <v>2026-02-15</v>
      </c>
    </row>
    <row r="158" spans="1:16" x14ac:dyDescent="0.2">
      <c r="A158" t="str" cm="1">
        <f t="array" ref="A158">_xlfn.LET(
    _xlpm.txt, B158,
    _xlpm.chars, MID(_xlpm.txt, _xlfn.SEQUENCE(LEN(_xlpm.txt)), 1),
    _xlpm.filtered, _xlfn._xlws.FILTER(_xlpm.chars, NOT(ISNUMBER(SEARCH(_xlpm.chars, "ABCDEFGHIJKLMNOPQRSTUVWXYZabcdefghijklmnopqrstuvwxyz")))),
    _xlfn.TEXTJOIN("",, _xlpm.filtered)
)</f>
        <v>000306</v>
      </c>
      <c r="B158" s="3" t="s">
        <v>760</v>
      </c>
      <c r="C158" s="3" t="s">
        <v>761</v>
      </c>
      <c r="D158" s="4">
        <v>500</v>
      </c>
      <c r="E158" s="3" t="s">
        <v>762</v>
      </c>
      <c r="F158" s="3" t="s">
        <v>33</v>
      </c>
      <c r="G158" s="3" t="s">
        <v>763</v>
      </c>
      <c r="H158" s="3" t="s">
        <v>132</v>
      </c>
      <c r="I158" s="3" t="s">
        <v>20</v>
      </c>
      <c r="J158" s="3" t="s">
        <v>73</v>
      </c>
      <c r="K158" s="3" t="s">
        <v>764</v>
      </c>
      <c r="L158" s="3" t="s">
        <v>174</v>
      </c>
      <c r="M158" s="3" t="s">
        <v>87</v>
      </c>
      <c r="N158" s="3" t="s">
        <v>25</v>
      </c>
      <c r="O158" t="str">
        <f>"2025-06-22"</f>
        <v>2025-06-22</v>
      </c>
      <c r="P158" t="str">
        <f>"2026-06-21"</f>
        <v>2026-06-21</v>
      </c>
    </row>
    <row r="159" spans="1:16" x14ac:dyDescent="0.2">
      <c r="A159" t="str" cm="1">
        <f t="array" ref="A159">_xlfn.LET(
    _xlpm.txt, B159,
    _xlpm.chars, MID(_xlpm.txt, _xlfn.SEQUENCE(LEN(_xlpm.txt)), 1),
    _xlpm.filtered, _xlfn._xlws.FILTER(_xlpm.chars, NOT(ISNUMBER(SEARCH(_xlpm.chars, "ABCDEFGHIJKLMNOPQRSTUVWXYZabcdefghijklmnopqrstuvwxyz")))),
    _xlfn.TEXTJOIN("",, _xlpm.filtered)
)</f>
        <v>000307</v>
      </c>
      <c r="B159" s="3" t="s">
        <v>765</v>
      </c>
      <c r="C159" s="3" t="s">
        <v>766</v>
      </c>
      <c r="D159" s="4">
        <v>330</v>
      </c>
      <c r="E159" s="3" t="s">
        <v>767</v>
      </c>
      <c r="F159" s="3" t="s">
        <v>768</v>
      </c>
      <c r="G159" s="3" t="s">
        <v>769</v>
      </c>
      <c r="H159" s="3" t="s">
        <v>132</v>
      </c>
      <c r="I159" s="3" t="s">
        <v>20</v>
      </c>
      <c r="J159" s="3" t="s">
        <v>119</v>
      </c>
      <c r="K159" s="3" t="s">
        <v>770</v>
      </c>
      <c r="L159" s="3" t="s">
        <v>47</v>
      </c>
      <c r="M159" s="3" t="s">
        <v>62</v>
      </c>
      <c r="N159" s="3" t="s">
        <v>25</v>
      </c>
      <c r="O159" t="str">
        <f>"2025-01-01"</f>
        <v>2025-01-01</v>
      </c>
      <c r="P159" t="str">
        <f>"2025-12-31"</f>
        <v>2025-12-31</v>
      </c>
    </row>
    <row r="160" spans="1:16" x14ac:dyDescent="0.2">
      <c r="A160" t="str" cm="1">
        <f t="array" ref="A160">_xlfn.LET(
    _xlpm.txt, B160,
    _xlpm.chars, MID(_xlpm.txt, _xlfn.SEQUENCE(LEN(_xlpm.txt)), 1),
    _xlpm.filtered, _xlfn._xlws.FILTER(_xlpm.chars, NOT(ISNUMBER(SEARCH(_xlpm.chars, "ABCDEFGHIJKLMNOPQRSTUVWXYZabcdefghijklmnopqrstuvwxyz")))),
    _xlfn.TEXTJOIN("",, _xlpm.filtered)
)</f>
        <v>000308</v>
      </c>
      <c r="B160" s="3" t="s">
        <v>771</v>
      </c>
      <c r="C160" s="3" t="s">
        <v>632</v>
      </c>
      <c r="D160" s="4">
        <v>185</v>
      </c>
      <c r="E160" s="3" t="s">
        <v>633</v>
      </c>
      <c r="F160" s="3" t="s">
        <v>772</v>
      </c>
      <c r="G160" s="3" t="s">
        <v>773</v>
      </c>
      <c r="H160" s="3" t="s">
        <v>132</v>
      </c>
      <c r="I160" s="3" t="s">
        <v>20</v>
      </c>
      <c r="J160" s="3" t="s">
        <v>73</v>
      </c>
      <c r="K160" s="3" t="s">
        <v>46</v>
      </c>
      <c r="L160" s="3" t="s">
        <v>174</v>
      </c>
      <c r="M160" s="3" t="s">
        <v>24</v>
      </c>
      <c r="N160" s="3" t="s">
        <v>25</v>
      </c>
      <c r="O160" t="str">
        <f>"2025-05-15"</f>
        <v>2025-05-15</v>
      </c>
      <c r="P160" t="str">
        <f>"2026-05-14"</f>
        <v>2026-05-14</v>
      </c>
    </row>
    <row r="161" spans="1:16" x14ac:dyDescent="0.2">
      <c r="A161" t="str" cm="1">
        <f t="array" ref="A161">_xlfn.LET(
    _xlpm.txt, B161,
    _xlpm.chars, MID(_xlpm.txt, _xlfn.SEQUENCE(LEN(_xlpm.txt)), 1),
    _xlpm.filtered, _xlfn._xlws.FILTER(_xlpm.chars, NOT(ISNUMBER(SEARCH(_xlpm.chars, "ABCDEFGHIJKLMNOPQRSTUVWXYZabcdefghijklmnopqrstuvwxyz")))),
    _xlfn.TEXTJOIN("",, _xlpm.filtered)
)</f>
        <v>000309</v>
      </c>
      <c r="B161" s="3" t="s">
        <v>774</v>
      </c>
      <c r="C161" s="3" t="s">
        <v>187</v>
      </c>
      <c r="D161" s="4">
        <v>680</v>
      </c>
      <c r="E161" s="3" t="s">
        <v>188</v>
      </c>
      <c r="F161" s="3" t="s">
        <v>775</v>
      </c>
      <c r="G161" s="3" t="s">
        <v>776</v>
      </c>
      <c r="H161" s="3" t="s">
        <v>132</v>
      </c>
      <c r="I161" s="3" t="s">
        <v>20</v>
      </c>
      <c r="J161" s="3" t="s">
        <v>119</v>
      </c>
      <c r="K161" s="3" t="s">
        <v>777</v>
      </c>
      <c r="L161" s="3" t="s">
        <v>38</v>
      </c>
      <c r="M161" s="3" t="s">
        <v>378</v>
      </c>
      <c r="N161" s="3" t="s">
        <v>25</v>
      </c>
      <c r="O161" t="str">
        <f>"2025-01-01"</f>
        <v>2025-01-01</v>
      </c>
      <c r="P161" t="str">
        <f>"2026-12-31"</f>
        <v>2026-12-31</v>
      </c>
    </row>
    <row r="162" spans="1:16" x14ac:dyDescent="0.2">
      <c r="A162" t="str" cm="1">
        <f t="array" ref="A162">_xlfn.LET(
    _xlpm.txt, B162,
    _xlpm.chars, MID(_xlpm.txt, _xlfn.SEQUENCE(LEN(_xlpm.txt)), 1),
    _xlpm.filtered, _xlfn._xlws.FILTER(_xlpm.chars, NOT(ISNUMBER(SEARCH(_xlpm.chars, "ABCDEFGHIJKLMNOPQRSTUVWXYZabcdefghijklmnopqrstuvwxyz")))),
    _xlfn.TEXTJOIN("",, _xlpm.filtered)
)</f>
        <v>000312</v>
      </c>
      <c r="B162" s="3" t="s">
        <v>778</v>
      </c>
      <c r="C162" s="3" t="s">
        <v>187</v>
      </c>
      <c r="D162" s="4">
        <v>680</v>
      </c>
      <c r="E162" s="3" t="s">
        <v>188</v>
      </c>
      <c r="F162" s="3" t="s">
        <v>779</v>
      </c>
      <c r="G162" s="3" t="s">
        <v>780</v>
      </c>
      <c r="H162" s="3" t="s">
        <v>84</v>
      </c>
      <c r="I162" s="3" t="s">
        <v>20</v>
      </c>
      <c r="J162" s="3" t="s">
        <v>73</v>
      </c>
      <c r="K162" s="3" t="s">
        <v>22</v>
      </c>
      <c r="L162" s="3" t="s">
        <v>23</v>
      </c>
      <c r="M162" s="3" t="s">
        <v>24</v>
      </c>
      <c r="N162" s="3" t="s">
        <v>25</v>
      </c>
      <c r="O162" t="str">
        <f>"2025-01-01"</f>
        <v>2025-01-01</v>
      </c>
      <c r="P162" t="str">
        <f>"2026-12-31"</f>
        <v>2026-12-31</v>
      </c>
    </row>
    <row r="163" spans="1:16" x14ac:dyDescent="0.2">
      <c r="A163" t="str" cm="1">
        <f t="array" ref="A163">_xlfn.LET(
    _xlpm.txt, B163,
    _xlpm.chars, MID(_xlpm.txt, _xlfn.SEQUENCE(LEN(_xlpm.txt)), 1),
    _xlpm.filtered, _xlfn._xlws.FILTER(_xlpm.chars, NOT(ISNUMBER(SEARCH(_xlpm.chars, "ABCDEFGHIJKLMNOPQRSTUVWXYZabcdefghijklmnopqrstuvwxyz")))),
    _xlfn.TEXTJOIN("",, _xlpm.filtered)
)</f>
        <v>000313</v>
      </c>
      <c r="B163" s="3" t="s">
        <v>781</v>
      </c>
      <c r="C163" s="3" t="s">
        <v>782</v>
      </c>
      <c r="D163" s="4">
        <v>250</v>
      </c>
      <c r="E163" s="3" t="s">
        <v>783</v>
      </c>
      <c r="F163" s="3" t="s">
        <v>784</v>
      </c>
      <c r="G163" s="3" t="s">
        <v>785</v>
      </c>
      <c r="H163" s="3" t="s">
        <v>657</v>
      </c>
      <c r="I163" s="3" t="s">
        <v>20</v>
      </c>
      <c r="J163" s="3" t="s">
        <v>67</v>
      </c>
      <c r="K163" s="3" t="s">
        <v>37</v>
      </c>
      <c r="L163" s="3" t="s">
        <v>86</v>
      </c>
      <c r="M163" s="3" t="s">
        <v>48</v>
      </c>
      <c r="N163" s="3" t="s">
        <v>25</v>
      </c>
      <c r="O163" t="str">
        <f>"2025-07-01"</f>
        <v>2025-07-01</v>
      </c>
      <c r="P163" t="str">
        <f>"2026-06-30"</f>
        <v>2026-06-30</v>
      </c>
    </row>
    <row r="164" spans="1:16" x14ac:dyDescent="0.2">
      <c r="A164" t="str" cm="1">
        <f t="array" ref="A164">_xlfn.LET(
    _xlpm.txt, B164,
    _xlpm.chars, MID(_xlpm.txt, _xlfn.SEQUENCE(LEN(_xlpm.txt)), 1),
    _xlpm.filtered, _xlfn._xlws.FILTER(_xlpm.chars, NOT(ISNUMBER(SEARCH(_xlpm.chars, "ABCDEFGHIJKLMNOPQRSTUVWXYZabcdefghijklmnopqrstuvwxyz")))),
    _xlfn.TEXTJOIN("",, _xlpm.filtered)
)</f>
        <v>000314</v>
      </c>
      <c r="B164" s="3" t="s">
        <v>786</v>
      </c>
      <c r="C164" s="3" t="s">
        <v>787</v>
      </c>
      <c r="D164" s="4">
        <v>150</v>
      </c>
      <c r="E164" s="3" t="s">
        <v>788</v>
      </c>
      <c r="F164" s="3" t="s">
        <v>33</v>
      </c>
      <c r="G164" s="3" t="s">
        <v>789</v>
      </c>
      <c r="H164" s="3" t="s">
        <v>657</v>
      </c>
      <c r="I164" s="3" t="s">
        <v>20</v>
      </c>
      <c r="J164" s="3" t="s">
        <v>36</v>
      </c>
      <c r="K164" s="3" t="s">
        <v>37</v>
      </c>
      <c r="L164" s="3" t="s">
        <v>38</v>
      </c>
      <c r="M164" s="3" t="s">
        <v>48</v>
      </c>
      <c r="N164" s="3" t="s">
        <v>25</v>
      </c>
      <c r="O164" t="str">
        <f>"2024-11-01"</f>
        <v>2024-11-01</v>
      </c>
      <c r="P164" t="str">
        <f>"2025-10-31"</f>
        <v>2025-10-31</v>
      </c>
    </row>
    <row r="165" spans="1:16" x14ac:dyDescent="0.2">
      <c r="A165" t="str" cm="1">
        <f t="array" ref="A165">_xlfn.LET(
    _xlpm.txt, B165,
    _xlpm.chars, MID(_xlpm.txt, _xlfn.SEQUENCE(LEN(_xlpm.txt)), 1),
    _xlpm.filtered, _xlfn._xlws.FILTER(_xlpm.chars, NOT(ISNUMBER(SEARCH(_xlpm.chars, "ABCDEFGHIJKLMNOPQRSTUVWXYZabcdefghijklmnopqrstuvwxyz")))),
    _xlfn.TEXTJOIN("",, _xlpm.filtered)
)</f>
        <v>000315</v>
      </c>
      <c r="B165" s="3" t="s">
        <v>790</v>
      </c>
      <c r="C165" s="3" t="s">
        <v>791</v>
      </c>
      <c r="D165" s="4">
        <v>250</v>
      </c>
      <c r="E165" s="3" t="s">
        <v>129</v>
      </c>
      <c r="F165" s="3" t="s">
        <v>792</v>
      </c>
      <c r="G165" s="3" t="s">
        <v>793</v>
      </c>
      <c r="H165" s="3" t="s">
        <v>657</v>
      </c>
      <c r="I165" s="3" t="s">
        <v>20</v>
      </c>
      <c r="J165" s="3" t="s">
        <v>36</v>
      </c>
      <c r="K165" s="3" t="s">
        <v>378</v>
      </c>
      <c r="L165" s="3" t="s">
        <v>290</v>
      </c>
      <c r="M165" s="3" t="s">
        <v>378</v>
      </c>
      <c r="N165" s="3" t="s">
        <v>25</v>
      </c>
      <c r="O165" t="str">
        <f>"2025-07-30"</f>
        <v>2025-07-30</v>
      </c>
      <c r="P165" t="str">
        <f>"2026-07-29"</f>
        <v>2026-07-29</v>
      </c>
    </row>
    <row r="166" spans="1:16" x14ac:dyDescent="0.2">
      <c r="A166" t="str" cm="1">
        <f t="array" ref="A166">_xlfn.LET(
    _xlpm.txt, B166,
    _xlpm.chars, MID(_xlpm.txt, _xlfn.SEQUENCE(LEN(_xlpm.txt)), 1),
    _xlpm.filtered, _xlfn._xlws.FILTER(_xlpm.chars, NOT(ISNUMBER(SEARCH(_xlpm.chars, "ABCDEFGHIJKLMNOPQRSTUVWXYZabcdefghijklmnopqrstuvwxyz")))),
    _xlfn.TEXTJOIN("",, _xlpm.filtered)
)</f>
        <v>000317</v>
      </c>
      <c r="B166" s="3" t="s">
        <v>794</v>
      </c>
      <c r="C166" s="3" t="s">
        <v>795</v>
      </c>
      <c r="D166" s="4">
        <v>250</v>
      </c>
      <c r="E166" s="3" t="s">
        <v>129</v>
      </c>
      <c r="F166" s="3" t="s">
        <v>792</v>
      </c>
      <c r="G166" s="3" t="s">
        <v>796</v>
      </c>
      <c r="H166" s="3" t="s">
        <v>657</v>
      </c>
      <c r="I166" s="3" t="s">
        <v>20</v>
      </c>
      <c r="J166" s="3" t="s">
        <v>36</v>
      </c>
      <c r="K166" s="3" t="s">
        <v>378</v>
      </c>
      <c r="L166" s="3" t="s">
        <v>378</v>
      </c>
      <c r="M166" s="3" t="s">
        <v>378</v>
      </c>
      <c r="N166" s="3" t="s">
        <v>25</v>
      </c>
      <c r="O166" t="str">
        <f>"2025-07-30"</f>
        <v>2025-07-30</v>
      </c>
      <c r="P166" t="str">
        <f>"2026-07-29"</f>
        <v>2026-07-29</v>
      </c>
    </row>
    <row r="167" spans="1:16" x14ac:dyDescent="0.2">
      <c r="A167" t="str" cm="1">
        <f t="array" ref="A167">_xlfn.LET(
    _xlpm.txt, B167,
    _xlpm.chars, MID(_xlpm.txt, _xlfn.SEQUENCE(LEN(_xlpm.txt)), 1),
    _xlpm.filtered, _xlfn._xlws.FILTER(_xlpm.chars, NOT(ISNUMBER(SEARCH(_xlpm.chars, "ABCDEFGHIJKLMNOPQRSTUVWXYZabcdefghijklmnopqrstuvwxyz")))),
    _xlfn.TEXTJOIN("",, _xlpm.filtered)
)</f>
        <v>000318</v>
      </c>
      <c r="B167" s="3" t="s">
        <v>797</v>
      </c>
      <c r="C167" s="3" t="s">
        <v>798</v>
      </c>
      <c r="D167" s="4">
        <v>175</v>
      </c>
      <c r="E167" s="3" t="s">
        <v>799</v>
      </c>
      <c r="F167" s="3" t="s">
        <v>33</v>
      </c>
      <c r="G167" s="3" t="s">
        <v>800</v>
      </c>
      <c r="H167" s="3" t="s">
        <v>363</v>
      </c>
      <c r="I167" s="3" t="s">
        <v>20</v>
      </c>
      <c r="J167" s="3" t="s">
        <v>67</v>
      </c>
      <c r="K167" s="3" t="s">
        <v>295</v>
      </c>
      <c r="L167" s="3" t="s">
        <v>296</v>
      </c>
      <c r="M167" s="3" t="s">
        <v>297</v>
      </c>
      <c r="N167" s="3" t="s">
        <v>25</v>
      </c>
      <c r="O167" t="str">
        <f>"2023-03-25"</f>
        <v>2023-03-25</v>
      </c>
      <c r="P167" t="str">
        <f>"2024-03-24"</f>
        <v>2024-03-24</v>
      </c>
    </row>
    <row r="168" spans="1:16" x14ac:dyDescent="0.2">
      <c r="A168" t="str" cm="1">
        <f t="array" ref="A168">_xlfn.LET(
    _xlpm.txt, B168,
    _xlpm.chars, MID(_xlpm.txt, _xlfn.SEQUENCE(LEN(_xlpm.txt)), 1),
    _xlpm.filtered, _xlfn._xlws.FILTER(_xlpm.chars, NOT(ISNUMBER(SEARCH(_xlpm.chars, "ABCDEFGHIJKLMNOPQRSTUVWXYZabcdefghijklmnopqrstuvwxyz")))),
    _xlfn.TEXTJOIN("",, _xlpm.filtered)
)</f>
        <v>000319</v>
      </c>
      <c r="B168" s="3" t="s">
        <v>801</v>
      </c>
      <c r="C168" s="3" t="s">
        <v>802</v>
      </c>
      <c r="D168" s="4">
        <v>120</v>
      </c>
      <c r="E168" s="3" t="s">
        <v>803</v>
      </c>
      <c r="F168" s="3" t="s">
        <v>33</v>
      </c>
      <c r="G168" s="3" t="s">
        <v>804</v>
      </c>
      <c r="H168" s="3" t="s">
        <v>623</v>
      </c>
      <c r="I168" s="3" t="s">
        <v>20</v>
      </c>
      <c r="J168" s="3" t="s">
        <v>36</v>
      </c>
      <c r="K168" s="3" t="s">
        <v>37</v>
      </c>
      <c r="L168" s="3" t="s">
        <v>47</v>
      </c>
      <c r="M168" s="3" t="s">
        <v>62</v>
      </c>
      <c r="N168" s="3" t="s">
        <v>273</v>
      </c>
      <c r="O168" t="str">
        <f>"2025-03-13"</f>
        <v>2025-03-13</v>
      </c>
      <c r="P168" t="str">
        <f>"2026-03-12"</f>
        <v>2026-03-12</v>
      </c>
    </row>
    <row r="169" spans="1:16" x14ac:dyDescent="0.2">
      <c r="A169" t="str" cm="1">
        <f t="array" ref="A169">_xlfn.LET(
    _xlpm.txt, B169,
    _xlpm.chars, MID(_xlpm.txt, _xlfn.SEQUENCE(LEN(_xlpm.txt)), 1),
    _xlpm.filtered, _xlfn._xlws.FILTER(_xlpm.chars, NOT(ISNUMBER(SEARCH(_xlpm.chars, "ABCDEFGHIJKLMNOPQRSTUVWXYZabcdefghijklmnopqrstuvwxyz")))),
    _xlfn.TEXTJOIN("",, _xlpm.filtered)
)</f>
        <v>000320</v>
      </c>
      <c r="B169" s="3" t="s">
        <v>805</v>
      </c>
      <c r="C169" s="3" t="s">
        <v>806</v>
      </c>
      <c r="D169" s="4">
        <v>120</v>
      </c>
      <c r="E169" s="3" t="s">
        <v>807</v>
      </c>
      <c r="F169" s="3" t="s">
        <v>621</v>
      </c>
      <c r="G169" s="3" t="s">
        <v>808</v>
      </c>
      <c r="H169" s="3" t="s">
        <v>623</v>
      </c>
      <c r="I169" s="3" t="s">
        <v>20</v>
      </c>
      <c r="J169" s="3" t="s">
        <v>33</v>
      </c>
      <c r="K169" s="3" t="s">
        <v>37</v>
      </c>
      <c r="L169" s="3" t="s">
        <v>33</v>
      </c>
      <c r="M169" s="3" t="s">
        <v>33</v>
      </c>
      <c r="N169" s="3" t="s">
        <v>273</v>
      </c>
      <c r="O169" t="str">
        <f>"2025-07-07"</f>
        <v>2025-07-07</v>
      </c>
      <c r="P169" t="str">
        <f>"2026-07-06"</f>
        <v>2026-07-06</v>
      </c>
    </row>
    <row r="170" spans="1:16" x14ac:dyDescent="0.2">
      <c r="A170" t="str" cm="1">
        <f t="array" ref="A170">_xlfn.LET(
    _xlpm.txt, B170,
    _xlpm.chars, MID(_xlpm.txt, _xlfn.SEQUENCE(LEN(_xlpm.txt)), 1),
    _xlpm.filtered, _xlfn._xlws.FILTER(_xlpm.chars, NOT(ISNUMBER(SEARCH(_xlpm.chars, "ABCDEFGHIJKLMNOPQRSTUVWXYZabcdefghijklmnopqrstuvwxyz")))),
    _xlfn.TEXTJOIN("",, _xlpm.filtered)
)</f>
        <v>000322</v>
      </c>
      <c r="B170" s="3" t="s">
        <v>809</v>
      </c>
      <c r="C170" s="3" t="s">
        <v>810</v>
      </c>
      <c r="D170" s="4">
        <v>350</v>
      </c>
      <c r="E170" s="3" t="s">
        <v>799</v>
      </c>
      <c r="F170" s="3" t="s">
        <v>33</v>
      </c>
      <c r="G170" s="3" t="s">
        <v>811</v>
      </c>
      <c r="H170" s="3" t="s">
        <v>363</v>
      </c>
      <c r="I170" s="3" t="s">
        <v>33</v>
      </c>
      <c r="J170" s="3" t="s">
        <v>67</v>
      </c>
      <c r="K170" s="3" t="s">
        <v>22</v>
      </c>
      <c r="L170" s="3" t="s">
        <v>812</v>
      </c>
      <c r="M170" s="3" t="s">
        <v>24</v>
      </c>
      <c r="N170" s="3" t="s">
        <v>273</v>
      </c>
      <c r="O170" t="str">
        <f>"2023-03-25"</f>
        <v>2023-03-25</v>
      </c>
      <c r="P170" t="str">
        <f>"2024-03-24"</f>
        <v>2024-03-24</v>
      </c>
    </row>
    <row r="171" spans="1:16" x14ac:dyDescent="0.2">
      <c r="A171" t="str" cm="1">
        <f t="array" ref="A171">_xlfn.LET(
    _xlpm.txt, B171,
    _xlpm.chars, MID(_xlpm.txt, _xlfn.SEQUENCE(LEN(_xlpm.txt)), 1),
    _xlpm.filtered, _xlfn._xlws.FILTER(_xlpm.chars, NOT(ISNUMBER(SEARCH(_xlpm.chars, "ABCDEFGHIJKLMNOPQRSTUVWXYZabcdefghijklmnopqrstuvwxyz")))),
    _xlfn.TEXTJOIN("",, _xlpm.filtered)
)</f>
        <v>000323</v>
      </c>
      <c r="B171" s="3" t="s">
        <v>813</v>
      </c>
      <c r="C171" s="3" t="s">
        <v>814</v>
      </c>
      <c r="D171" s="4">
        <v>175</v>
      </c>
      <c r="E171" s="3" t="s">
        <v>799</v>
      </c>
      <c r="F171" s="3" t="s">
        <v>33</v>
      </c>
      <c r="G171" s="3" t="s">
        <v>815</v>
      </c>
      <c r="H171" s="3" t="s">
        <v>363</v>
      </c>
      <c r="I171" s="3" t="s">
        <v>20</v>
      </c>
      <c r="J171" s="3" t="s">
        <v>511</v>
      </c>
      <c r="K171" s="3" t="s">
        <v>816</v>
      </c>
      <c r="L171" s="3" t="s">
        <v>23</v>
      </c>
      <c r="M171" s="3" t="s">
        <v>817</v>
      </c>
      <c r="N171" s="3" t="s">
        <v>273</v>
      </c>
      <c r="O171" t="str">
        <f>"2023-03-25"</f>
        <v>2023-03-25</v>
      </c>
      <c r="P171" t="str">
        <f>"2024-03-24"</f>
        <v>2024-03-24</v>
      </c>
    </row>
    <row r="172" spans="1:16" x14ac:dyDescent="0.2">
      <c r="A172" t="str" cm="1">
        <f t="array" ref="A172">_xlfn.LET(
    _xlpm.txt, B172,
    _xlpm.chars, MID(_xlpm.txt, _xlfn.SEQUENCE(LEN(_xlpm.txt)), 1),
    _xlpm.filtered, _xlfn._xlws.FILTER(_xlpm.chars, NOT(ISNUMBER(SEARCH(_xlpm.chars, "ABCDEFGHIJKLMNOPQRSTUVWXYZabcdefghijklmnopqrstuvwxyz")))),
    _xlfn.TEXTJOIN("",, _xlpm.filtered)
)</f>
        <v>000324</v>
      </c>
      <c r="B172" s="3" t="s">
        <v>818</v>
      </c>
      <c r="C172" s="3" t="s">
        <v>252</v>
      </c>
      <c r="D172" s="4">
        <v>200</v>
      </c>
      <c r="E172" s="3" t="s">
        <v>253</v>
      </c>
      <c r="F172" s="3" t="s">
        <v>33</v>
      </c>
      <c r="G172" s="3" t="s">
        <v>819</v>
      </c>
      <c r="H172" s="3" t="s">
        <v>59</v>
      </c>
      <c r="I172" s="3" t="s">
        <v>20</v>
      </c>
      <c r="J172" s="3" t="s">
        <v>73</v>
      </c>
      <c r="K172" s="3" t="s">
        <v>37</v>
      </c>
      <c r="L172" s="3" t="s">
        <v>38</v>
      </c>
      <c r="M172" s="3" t="s">
        <v>820</v>
      </c>
      <c r="N172" s="3" t="s">
        <v>25</v>
      </c>
      <c r="O172" t="str">
        <f>"2025-01-01"</f>
        <v>2025-01-01</v>
      </c>
      <c r="P172" t="str">
        <f>"2025-12-31"</f>
        <v>2025-12-31</v>
      </c>
    </row>
    <row r="173" spans="1:16" x14ac:dyDescent="0.2">
      <c r="A173" t="str" cm="1">
        <f t="array" ref="A173">_xlfn.LET(
    _xlpm.txt, B173,
    _xlpm.chars, MID(_xlpm.txt, _xlfn.SEQUENCE(LEN(_xlpm.txt)), 1),
    _xlpm.filtered, _xlfn._xlws.FILTER(_xlpm.chars, NOT(ISNUMBER(SEARCH(_xlpm.chars, "ABCDEFGHIJKLMNOPQRSTUVWXYZabcdefghijklmnopqrstuvwxyz")))),
    _xlfn.TEXTJOIN("",, _xlpm.filtered)
)</f>
        <v>000325</v>
      </c>
      <c r="B173" s="3" t="s">
        <v>821</v>
      </c>
      <c r="C173" s="3" t="s">
        <v>121</v>
      </c>
      <c r="D173" s="4">
        <v>360</v>
      </c>
      <c r="E173" s="3" t="s">
        <v>122</v>
      </c>
      <c r="F173" s="3" t="s">
        <v>822</v>
      </c>
      <c r="G173" s="3" t="s">
        <v>823</v>
      </c>
      <c r="H173" s="3" t="s">
        <v>824</v>
      </c>
      <c r="I173" s="3" t="s">
        <v>20</v>
      </c>
      <c r="J173" s="3" t="s">
        <v>229</v>
      </c>
      <c r="K173" s="3" t="s">
        <v>825</v>
      </c>
      <c r="L173" s="3" t="s">
        <v>47</v>
      </c>
      <c r="M173" s="3" t="s">
        <v>826</v>
      </c>
      <c r="N173" s="3" t="s">
        <v>25</v>
      </c>
      <c r="O173" t="str">
        <f>"2025-05-01"</f>
        <v>2025-05-01</v>
      </c>
      <c r="P173" t="str">
        <f>"2026-04-30"</f>
        <v>2026-04-30</v>
      </c>
    </row>
    <row r="174" spans="1:16" x14ac:dyDescent="0.2">
      <c r="A174" t="str" cm="1">
        <f t="array" ref="A174">_xlfn.LET(
    _xlpm.txt, B174,
    _xlpm.chars, MID(_xlpm.txt, _xlfn.SEQUENCE(LEN(_xlpm.txt)), 1),
    _xlpm.filtered, _xlfn._xlws.FILTER(_xlpm.chars, NOT(ISNUMBER(SEARCH(_xlpm.chars, "ABCDEFGHIJKLMNOPQRSTUVWXYZabcdefghijklmnopqrstuvwxyz")))),
    _xlfn.TEXTJOIN("",, _xlpm.filtered)
)</f>
        <v>000327</v>
      </c>
      <c r="B174" s="3" t="s">
        <v>827</v>
      </c>
      <c r="C174" s="3" t="s">
        <v>828</v>
      </c>
      <c r="D174" s="4">
        <v>180</v>
      </c>
      <c r="E174" s="3" t="s">
        <v>829</v>
      </c>
      <c r="F174" s="3" t="s">
        <v>830</v>
      </c>
      <c r="G174" s="3" t="s">
        <v>831</v>
      </c>
      <c r="H174" s="3" t="s">
        <v>84</v>
      </c>
      <c r="I174" s="3" t="s">
        <v>33</v>
      </c>
      <c r="J174" s="3" t="s">
        <v>60</v>
      </c>
      <c r="K174" s="3" t="s">
        <v>22</v>
      </c>
      <c r="L174" s="3" t="s">
        <v>174</v>
      </c>
      <c r="M174" s="3" t="s">
        <v>24</v>
      </c>
      <c r="N174" s="3" t="s">
        <v>25</v>
      </c>
      <c r="O174" t="str">
        <f>"2024-11-01"</f>
        <v>2024-11-01</v>
      </c>
      <c r="P174" t="str">
        <f>"2025-10-31"</f>
        <v>2025-10-31</v>
      </c>
    </row>
    <row r="175" spans="1:16" x14ac:dyDescent="0.2">
      <c r="A175" t="str" cm="1">
        <f t="array" ref="A175">_xlfn.LET(
    _xlpm.txt, B175,
    _xlpm.chars, MID(_xlpm.txt, _xlfn.SEQUENCE(LEN(_xlpm.txt)), 1),
    _xlpm.filtered, _xlfn._xlws.FILTER(_xlpm.chars, NOT(ISNUMBER(SEARCH(_xlpm.chars, "ABCDEFGHIJKLMNOPQRSTUVWXYZabcdefghijklmnopqrstuvwxyz")))),
    _xlfn.TEXTJOIN("",, _xlpm.filtered)
)</f>
        <v>000328</v>
      </c>
      <c r="B175" s="3" t="s">
        <v>832</v>
      </c>
      <c r="C175" s="3" t="s">
        <v>632</v>
      </c>
      <c r="D175" s="4">
        <v>185</v>
      </c>
      <c r="E175" s="3" t="s">
        <v>633</v>
      </c>
      <c r="F175" s="3" t="s">
        <v>833</v>
      </c>
      <c r="G175" s="3" t="s">
        <v>834</v>
      </c>
      <c r="H175" s="3" t="s">
        <v>132</v>
      </c>
      <c r="I175" s="3" t="s">
        <v>20</v>
      </c>
      <c r="J175" s="3" t="s">
        <v>73</v>
      </c>
      <c r="K175" s="3" t="s">
        <v>37</v>
      </c>
      <c r="L175" s="3" t="s">
        <v>38</v>
      </c>
      <c r="M175" s="3" t="s">
        <v>62</v>
      </c>
      <c r="N175" s="3" t="s">
        <v>25</v>
      </c>
      <c r="O175" t="str">
        <f>"2025-05-15"</f>
        <v>2025-05-15</v>
      </c>
      <c r="P175" t="str">
        <f>"2026-05-14"</f>
        <v>2026-05-14</v>
      </c>
    </row>
    <row r="176" spans="1:16" x14ac:dyDescent="0.2">
      <c r="A176" t="str" cm="1">
        <f t="array" ref="A176">_xlfn.LET(
    _xlpm.txt, B176,
    _xlpm.chars, MID(_xlpm.txt, _xlfn.SEQUENCE(LEN(_xlpm.txt)), 1),
    _xlpm.filtered, _xlfn._xlws.FILTER(_xlpm.chars, NOT(ISNUMBER(SEARCH(_xlpm.chars, "ABCDEFGHIJKLMNOPQRSTUVWXYZabcdefghijklmnopqrstuvwxyz")))),
    _xlfn.TEXTJOIN("",, _xlpm.filtered)
)</f>
        <v>000329</v>
      </c>
      <c r="B176" s="3" t="s">
        <v>835</v>
      </c>
      <c r="C176" s="3" t="s">
        <v>632</v>
      </c>
      <c r="D176" s="4">
        <v>185</v>
      </c>
      <c r="E176" s="3" t="s">
        <v>633</v>
      </c>
      <c r="F176" s="3" t="s">
        <v>33</v>
      </c>
      <c r="G176" s="3" t="s">
        <v>836</v>
      </c>
      <c r="H176" s="3" t="s">
        <v>132</v>
      </c>
      <c r="I176" s="3" t="s">
        <v>20</v>
      </c>
      <c r="J176" s="3" t="s">
        <v>73</v>
      </c>
      <c r="K176" s="3" t="s">
        <v>22</v>
      </c>
      <c r="L176" s="3" t="s">
        <v>23</v>
      </c>
      <c r="M176" s="3" t="s">
        <v>24</v>
      </c>
      <c r="N176" s="3" t="s">
        <v>25</v>
      </c>
      <c r="O176" t="str">
        <f>"2025-05-15"</f>
        <v>2025-05-15</v>
      </c>
      <c r="P176" t="str">
        <f>"2026-05-14"</f>
        <v>2026-05-14</v>
      </c>
    </row>
    <row r="177" spans="1:16" x14ac:dyDescent="0.2">
      <c r="A177" t="str" cm="1">
        <f t="array" ref="A177">_xlfn.LET(
    _xlpm.txt, B177,
    _xlpm.chars, MID(_xlpm.txt, _xlfn.SEQUENCE(LEN(_xlpm.txt)), 1),
    _xlpm.filtered, _xlfn._xlws.FILTER(_xlpm.chars, NOT(ISNUMBER(SEARCH(_xlpm.chars, "ABCDEFGHIJKLMNOPQRSTUVWXYZabcdefghijklmnopqrstuvwxyz")))),
    _xlfn.TEXTJOIN("",, _xlpm.filtered)
)</f>
        <v>000333</v>
      </c>
      <c r="B177" s="3" t="s">
        <v>837</v>
      </c>
      <c r="C177" s="3" t="s">
        <v>838</v>
      </c>
      <c r="D177" s="4">
        <v>140</v>
      </c>
      <c r="E177" s="3" t="s">
        <v>839</v>
      </c>
      <c r="F177" s="3" t="s">
        <v>840</v>
      </c>
      <c r="G177" s="3" t="s">
        <v>841</v>
      </c>
      <c r="H177" s="3" t="s">
        <v>842</v>
      </c>
      <c r="I177" s="3" t="s">
        <v>20</v>
      </c>
      <c r="J177" s="3" t="s">
        <v>85</v>
      </c>
      <c r="K177" s="3" t="s">
        <v>37</v>
      </c>
      <c r="L177" s="3" t="s">
        <v>38</v>
      </c>
      <c r="M177" s="3" t="s">
        <v>24</v>
      </c>
      <c r="N177" s="3" t="s">
        <v>25</v>
      </c>
      <c r="O177" t="str">
        <f>"2025-10-01"</f>
        <v>2025-10-01</v>
      </c>
      <c r="P177" t="str">
        <f>"2026-09-30"</f>
        <v>2026-09-30</v>
      </c>
    </row>
    <row r="178" spans="1:16" x14ac:dyDescent="0.2">
      <c r="A178" t="str" cm="1">
        <f t="array" ref="A178">_xlfn.LET(
    _xlpm.txt, B178,
    _xlpm.chars, MID(_xlpm.txt, _xlfn.SEQUENCE(LEN(_xlpm.txt)), 1),
    _xlpm.filtered, _xlfn._xlws.FILTER(_xlpm.chars, NOT(ISNUMBER(SEARCH(_xlpm.chars, "ABCDEFGHIJKLMNOPQRSTUVWXYZabcdefghijklmnopqrstuvwxyz")))),
    _xlfn.TEXTJOIN("",, _xlpm.filtered)
)</f>
        <v>000334</v>
      </c>
      <c r="B178" s="3" t="s">
        <v>843</v>
      </c>
      <c r="C178" s="3" t="s">
        <v>398</v>
      </c>
      <c r="D178" s="4">
        <v>150</v>
      </c>
      <c r="E178" s="3" t="s">
        <v>110</v>
      </c>
      <c r="F178" s="3" t="s">
        <v>33</v>
      </c>
      <c r="G178" s="3" t="s">
        <v>844</v>
      </c>
      <c r="H178" s="3" t="s">
        <v>845</v>
      </c>
      <c r="I178" s="3" t="s">
        <v>20</v>
      </c>
      <c r="J178" s="3" t="s">
        <v>67</v>
      </c>
      <c r="K178" s="3" t="s">
        <v>37</v>
      </c>
      <c r="L178" s="3" t="s">
        <v>38</v>
      </c>
      <c r="M178" s="3" t="s">
        <v>24</v>
      </c>
      <c r="N178" s="3" t="s">
        <v>25</v>
      </c>
      <c r="O178" t="str">
        <f>"2025-07-01"</f>
        <v>2025-07-01</v>
      </c>
      <c r="P178" t="str">
        <f>"2026-06-30"</f>
        <v>2026-06-30</v>
      </c>
    </row>
    <row r="179" spans="1:16" x14ac:dyDescent="0.2">
      <c r="A179" t="str" cm="1">
        <f t="array" ref="A179">_xlfn.LET(
    _xlpm.txt, B179,
    _xlpm.chars, MID(_xlpm.txt, _xlfn.SEQUENCE(LEN(_xlpm.txt)), 1),
    _xlpm.filtered, _xlfn._xlws.FILTER(_xlpm.chars, NOT(ISNUMBER(SEARCH(_xlpm.chars, "ABCDEFGHIJKLMNOPQRSTUVWXYZabcdefghijklmnopqrstuvwxyz")))),
    _xlfn.TEXTJOIN("",, _xlpm.filtered)
)</f>
        <v>000335</v>
      </c>
      <c r="B179" s="3" t="s">
        <v>846</v>
      </c>
      <c r="C179" s="3" t="s">
        <v>847</v>
      </c>
      <c r="D179" s="4">
        <v>180</v>
      </c>
      <c r="E179" s="3" t="s">
        <v>848</v>
      </c>
      <c r="F179" s="3" t="s">
        <v>849</v>
      </c>
      <c r="G179" s="3" t="s">
        <v>850</v>
      </c>
      <c r="H179" s="3" t="s">
        <v>132</v>
      </c>
      <c r="I179" s="3" t="s">
        <v>20</v>
      </c>
      <c r="J179" s="3" t="s">
        <v>73</v>
      </c>
      <c r="K179" s="3" t="s">
        <v>46</v>
      </c>
      <c r="L179" s="3" t="s">
        <v>174</v>
      </c>
      <c r="M179" s="3" t="s">
        <v>87</v>
      </c>
      <c r="N179" s="3" t="s">
        <v>25</v>
      </c>
      <c r="O179" t="str">
        <f>"2025-06-01"</f>
        <v>2025-06-01</v>
      </c>
      <c r="P179" t="str">
        <f>"2026-05-31"</f>
        <v>2026-05-31</v>
      </c>
    </row>
    <row r="180" spans="1:16" x14ac:dyDescent="0.2">
      <c r="A180" t="str" cm="1">
        <f t="array" ref="A180">_xlfn.LET(
    _xlpm.txt, B180,
    _xlpm.chars, MID(_xlpm.txt, _xlfn.SEQUENCE(LEN(_xlpm.txt)), 1),
    _xlpm.filtered, _xlfn._xlws.FILTER(_xlpm.chars, NOT(ISNUMBER(SEARCH(_xlpm.chars, "ABCDEFGHIJKLMNOPQRSTUVWXYZabcdefghijklmnopqrstuvwxyz")))),
    _xlfn.TEXTJOIN("",, _xlpm.filtered)
)</f>
        <v>000336</v>
      </c>
      <c r="B180" s="3" t="s">
        <v>851</v>
      </c>
      <c r="C180" s="3" t="s">
        <v>852</v>
      </c>
      <c r="D180" s="4">
        <v>200</v>
      </c>
      <c r="E180" s="3" t="s">
        <v>853</v>
      </c>
      <c r="F180" s="3" t="s">
        <v>33</v>
      </c>
      <c r="G180" s="3" t="s">
        <v>854</v>
      </c>
      <c r="H180" s="3" t="s">
        <v>855</v>
      </c>
      <c r="I180" s="3" t="s">
        <v>20</v>
      </c>
      <c r="J180" s="3" t="s">
        <v>36</v>
      </c>
      <c r="K180" s="3" t="s">
        <v>37</v>
      </c>
      <c r="L180" s="3" t="s">
        <v>23</v>
      </c>
      <c r="M180" s="3" t="s">
        <v>62</v>
      </c>
      <c r="N180" s="3" t="s">
        <v>273</v>
      </c>
      <c r="O180" t="str">
        <f>"2025-01-01"</f>
        <v>2025-01-01</v>
      </c>
      <c r="P180" t="str">
        <f>"2025-12-31"</f>
        <v>2025-12-31</v>
      </c>
    </row>
    <row r="181" spans="1:16" x14ac:dyDescent="0.2">
      <c r="A181" t="str" cm="1">
        <f t="array" ref="A181">_xlfn.LET(
    _xlpm.txt, B181,
    _xlpm.chars, MID(_xlpm.txt, _xlfn.SEQUENCE(LEN(_xlpm.txt)), 1),
    _xlpm.filtered, _xlfn._xlws.FILTER(_xlpm.chars, NOT(ISNUMBER(SEARCH(_xlpm.chars, "ABCDEFGHIJKLMNOPQRSTUVWXYZabcdefghijklmnopqrstuvwxyz")))),
    _xlfn.TEXTJOIN("",, _xlpm.filtered)
)</f>
        <v>000339</v>
      </c>
      <c r="B181" s="3" t="s">
        <v>856</v>
      </c>
      <c r="C181" s="3" t="s">
        <v>347</v>
      </c>
      <c r="D181" s="4">
        <v>350</v>
      </c>
      <c r="E181" s="3" t="s">
        <v>348</v>
      </c>
      <c r="F181" s="3" t="s">
        <v>33</v>
      </c>
      <c r="G181" s="3" t="s">
        <v>857</v>
      </c>
      <c r="H181" s="3" t="s">
        <v>84</v>
      </c>
      <c r="I181" s="3" t="s">
        <v>20</v>
      </c>
      <c r="J181" s="3" t="s">
        <v>21</v>
      </c>
      <c r="K181" s="3" t="s">
        <v>37</v>
      </c>
      <c r="L181" s="3" t="s">
        <v>38</v>
      </c>
      <c r="M181" s="3" t="s">
        <v>144</v>
      </c>
      <c r="N181" s="3" t="s">
        <v>25</v>
      </c>
      <c r="O181" t="str">
        <f>"2024-09-25"</f>
        <v>2024-09-25</v>
      </c>
      <c r="P181" t="str">
        <f>"2025-09-24"</f>
        <v>2025-09-24</v>
      </c>
    </row>
    <row r="182" spans="1:16" x14ac:dyDescent="0.2">
      <c r="A182" t="str" cm="1">
        <f t="array" ref="A182">_xlfn.LET(
    _xlpm.txt, B182,
    _xlpm.chars, MID(_xlpm.txt, _xlfn.SEQUENCE(LEN(_xlpm.txt)), 1),
    _xlpm.filtered, _xlfn._xlws.FILTER(_xlpm.chars, NOT(ISNUMBER(SEARCH(_xlpm.chars, "ABCDEFGHIJKLMNOPQRSTUVWXYZabcdefghijklmnopqrstuvwxyz")))),
    _xlfn.TEXTJOIN("",, _xlpm.filtered)
)</f>
        <v>000340</v>
      </c>
      <c r="B182" s="3" t="s">
        <v>858</v>
      </c>
      <c r="C182" s="3" t="s">
        <v>859</v>
      </c>
      <c r="D182" s="4">
        <v>150</v>
      </c>
      <c r="E182" s="3" t="s">
        <v>860</v>
      </c>
      <c r="F182" s="3" t="s">
        <v>33</v>
      </c>
      <c r="G182" s="3" t="s">
        <v>861</v>
      </c>
      <c r="H182" s="3" t="s">
        <v>264</v>
      </c>
      <c r="I182" s="3" t="s">
        <v>20</v>
      </c>
      <c r="J182" s="3" t="s">
        <v>36</v>
      </c>
      <c r="K182" s="3" t="s">
        <v>37</v>
      </c>
      <c r="L182" s="3" t="s">
        <v>38</v>
      </c>
      <c r="M182" s="3" t="s">
        <v>862</v>
      </c>
      <c r="N182" s="3" t="s">
        <v>25</v>
      </c>
      <c r="O182" t="str">
        <f>"2024-11-01"</f>
        <v>2024-11-01</v>
      </c>
      <c r="P182" t="str">
        <f>"2025-10-31"</f>
        <v>2025-10-31</v>
      </c>
    </row>
    <row r="183" spans="1:16" x14ac:dyDescent="0.2">
      <c r="A183" t="str" cm="1">
        <f t="array" ref="A183">_xlfn.LET(
    _xlpm.txt, B183,
    _xlpm.chars, MID(_xlpm.txt, _xlfn.SEQUENCE(LEN(_xlpm.txt)), 1),
    _xlpm.filtered, _xlfn._xlws.FILTER(_xlpm.chars, NOT(ISNUMBER(SEARCH(_xlpm.chars, "ABCDEFGHIJKLMNOPQRSTUVWXYZabcdefghijklmnopqrstuvwxyz")))),
    _xlfn.TEXTJOIN("",, _xlpm.filtered)
)</f>
        <v>000341</v>
      </c>
      <c r="B183" s="3" t="s">
        <v>863</v>
      </c>
      <c r="C183" s="3" t="s">
        <v>864</v>
      </c>
      <c r="D183" s="4">
        <v>150</v>
      </c>
      <c r="E183" s="3" t="s">
        <v>680</v>
      </c>
      <c r="F183" s="3" t="s">
        <v>33</v>
      </c>
      <c r="G183" s="3" t="s">
        <v>865</v>
      </c>
      <c r="H183" s="3" t="s">
        <v>264</v>
      </c>
      <c r="I183" s="3" t="s">
        <v>20</v>
      </c>
      <c r="J183" s="3" t="s">
        <v>36</v>
      </c>
      <c r="K183" s="3" t="s">
        <v>37</v>
      </c>
      <c r="L183" s="3" t="s">
        <v>445</v>
      </c>
      <c r="M183" s="3" t="s">
        <v>24</v>
      </c>
      <c r="N183" s="3" t="s">
        <v>25</v>
      </c>
      <c r="O183" t="str">
        <f>"2025-05-01"</f>
        <v>2025-05-01</v>
      </c>
      <c r="P183" t="str">
        <f>"2026-04-30"</f>
        <v>2026-04-30</v>
      </c>
    </row>
    <row r="184" spans="1:16" x14ac:dyDescent="0.2">
      <c r="A184" t="str" cm="1">
        <f t="array" ref="A184">_xlfn.LET(
    _xlpm.txt, B184,
    _xlpm.chars, MID(_xlpm.txt, _xlfn.SEQUENCE(LEN(_xlpm.txt)), 1),
    _xlpm.filtered, _xlfn._xlws.FILTER(_xlpm.chars, NOT(ISNUMBER(SEARCH(_xlpm.chars, "ABCDEFGHIJKLMNOPQRSTUVWXYZabcdefghijklmnopqrstuvwxyz")))),
    _xlfn.TEXTJOIN("",, _xlpm.filtered)
)</f>
        <v>000342</v>
      </c>
      <c r="B184" s="3" t="s">
        <v>866</v>
      </c>
      <c r="C184" s="3" t="s">
        <v>867</v>
      </c>
      <c r="D184" s="4">
        <v>150</v>
      </c>
      <c r="E184" s="3" t="s">
        <v>868</v>
      </c>
      <c r="F184" s="3" t="s">
        <v>869</v>
      </c>
      <c r="G184" s="3" t="s">
        <v>870</v>
      </c>
      <c r="H184" s="3" t="s">
        <v>264</v>
      </c>
      <c r="I184" s="3" t="s">
        <v>20</v>
      </c>
      <c r="J184" s="3" t="s">
        <v>85</v>
      </c>
      <c r="K184" s="3" t="s">
        <v>37</v>
      </c>
      <c r="L184" s="3" t="s">
        <v>38</v>
      </c>
      <c r="M184" s="3" t="s">
        <v>48</v>
      </c>
      <c r="N184" s="3" t="s">
        <v>25</v>
      </c>
      <c r="O184" t="str">
        <f>"2024-12-15"</f>
        <v>2024-12-15</v>
      </c>
      <c r="P184" t="str">
        <f>"2025-12-14"</f>
        <v>2025-12-14</v>
      </c>
    </row>
    <row r="185" spans="1:16" x14ac:dyDescent="0.2">
      <c r="A185" t="str" cm="1">
        <f t="array" ref="A185">_xlfn.LET(
    _xlpm.txt, B185,
    _xlpm.chars, MID(_xlpm.txt, _xlfn.SEQUENCE(LEN(_xlpm.txt)), 1),
    _xlpm.filtered, _xlfn._xlws.FILTER(_xlpm.chars, NOT(ISNUMBER(SEARCH(_xlpm.chars, "ABCDEFGHIJKLMNOPQRSTUVWXYZabcdefghijklmnopqrstuvwxyz")))),
    _xlfn.TEXTJOIN("",, _xlpm.filtered)
)</f>
        <v>000343</v>
      </c>
      <c r="B185" s="3" t="s">
        <v>871</v>
      </c>
      <c r="C185" s="3" t="s">
        <v>872</v>
      </c>
      <c r="D185" s="4">
        <v>140</v>
      </c>
      <c r="E185" s="3" t="s">
        <v>873</v>
      </c>
      <c r="F185" s="3" t="s">
        <v>874</v>
      </c>
      <c r="G185" s="3" t="s">
        <v>875</v>
      </c>
      <c r="H185" s="3" t="s">
        <v>855</v>
      </c>
      <c r="I185" s="3" t="s">
        <v>20</v>
      </c>
      <c r="J185" s="3" t="s">
        <v>36</v>
      </c>
      <c r="K185" s="3" t="s">
        <v>37</v>
      </c>
      <c r="L185" s="3" t="s">
        <v>23</v>
      </c>
      <c r="M185" s="3" t="s">
        <v>24</v>
      </c>
      <c r="N185" s="3" t="s">
        <v>25</v>
      </c>
      <c r="O185" t="str">
        <f>"2025-08-15"</f>
        <v>2025-08-15</v>
      </c>
      <c r="P185" t="str">
        <f>"2026-08-14"</f>
        <v>2026-08-14</v>
      </c>
    </row>
    <row r="186" spans="1:16" x14ac:dyDescent="0.2">
      <c r="A186" t="str" cm="1">
        <f t="array" ref="A186">_xlfn.LET(
    _xlpm.txt, B186,
    _xlpm.chars, MID(_xlpm.txt, _xlfn.SEQUENCE(LEN(_xlpm.txt)), 1),
    _xlpm.filtered, _xlfn._xlws.FILTER(_xlpm.chars, NOT(ISNUMBER(SEARCH(_xlpm.chars, "ABCDEFGHIJKLMNOPQRSTUVWXYZabcdefghijklmnopqrstuvwxyz")))),
    _xlfn.TEXTJOIN("",, _xlpm.filtered)
)</f>
        <v>000344</v>
      </c>
      <c r="B186" s="3" t="s">
        <v>876</v>
      </c>
      <c r="C186" s="3" t="s">
        <v>877</v>
      </c>
      <c r="D186" s="4">
        <v>225</v>
      </c>
      <c r="E186" s="3" t="s">
        <v>167</v>
      </c>
      <c r="F186" s="3" t="s">
        <v>878</v>
      </c>
      <c r="G186" s="3" t="s">
        <v>879</v>
      </c>
      <c r="H186" s="3" t="s">
        <v>132</v>
      </c>
      <c r="I186" s="3" t="s">
        <v>20</v>
      </c>
      <c r="J186" s="3" t="s">
        <v>73</v>
      </c>
      <c r="K186" s="3" t="s">
        <v>37</v>
      </c>
      <c r="L186" s="3" t="s">
        <v>174</v>
      </c>
      <c r="M186" s="3" t="s">
        <v>87</v>
      </c>
      <c r="N186" s="3" t="s">
        <v>25</v>
      </c>
      <c r="O186" t="str">
        <f>"2025-04-30"</f>
        <v>2025-04-30</v>
      </c>
      <c r="P186" t="str">
        <f>"2026-04-29"</f>
        <v>2026-04-29</v>
      </c>
    </row>
    <row r="187" spans="1:16" x14ac:dyDescent="0.2">
      <c r="A187" t="str" cm="1">
        <f t="array" ref="A187">_xlfn.LET(
    _xlpm.txt, B187,
    _xlpm.chars, MID(_xlpm.txt, _xlfn.SEQUENCE(LEN(_xlpm.txt)), 1),
    _xlpm.filtered, _xlfn._xlws.FILTER(_xlpm.chars, NOT(ISNUMBER(SEARCH(_xlpm.chars, "ABCDEFGHIJKLMNOPQRSTUVWXYZabcdefghijklmnopqrstuvwxyz")))),
    _xlfn.TEXTJOIN("",, _xlpm.filtered)
)</f>
        <v>000347</v>
      </c>
      <c r="B187" s="3" t="s">
        <v>880</v>
      </c>
      <c r="C187" s="3" t="s">
        <v>881</v>
      </c>
      <c r="D187" s="4">
        <v>340</v>
      </c>
      <c r="E187" s="3" t="s">
        <v>882</v>
      </c>
      <c r="F187" s="3" t="s">
        <v>883</v>
      </c>
      <c r="G187" s="3" t="s">
        <v>884</v>
      </c>
      <c r="H187" s="3" t="s">
        <v>132</v>
      </c>
      <c r="I187" s="3" t="s">
        <v>20</v>
      </c>
      <c r="J187" s="3" t="s">
        <v>21</v>
      </c>
      <c r="K187" s="3" t="s">
        <v>37</v>
      </c>
      <c r="L187" s="3" t="s">
        <v>38</v>
      </c>
      <c r="M187" s="3" t="s">
        <v>24</v>
      </c>
      <c r="N187" s="3" t="s">
        <v>25</v>
      </c>
      <c r="O187" t="str">
        <f>"2025-10-15"</f>
        <v>2025-10-15</v>
      </c>
      <c r="P187" t="str">
        <f>"2026-10-14"</f>
        <v>2026-10-14</v>
      </c>
    </row>
    <row r="188" spans="1:16" x14ac:dyDescent="0.2">
      <c r="A188" t="str" cm="1">
        <f t="array" ref="A188">_xlfn.LET(
    _xlpm.txt, B188,
    _xlpm.chars, MID(_xlpm.txt, _xlfn.SEQUENCE(LEN(_xlpm.txt)), 1),
    _xlpm.filtered, _xlfn._xlws.FILTER(_xlpm.chars, NOT(ISNUMBER(SEARCH(_xlpm.chars, "ABCDEFGHIJKLMNOPQRSTUVWXYZabcdefghijklmnopqrstuvwxyz")))),
    _xlfn.TEXTJOIN("",, _xlpm.filtered)
)</f>
        <v>000348</v>
      </c>
      <c r="B188" s="3" t="s">
        <v>885</v>
      </c>
      <c r="C188" s="3" t="s">
        <v>886</v>
      </c>
      <c r="D188" s="4">
        <v>340</v>
      </c>
      <c r="E188" s="3" t="s">
        <v>882</v>
      </c>
      <c r="F188" s="3" t="s">
        <v>883</v>
      </c>
      <c r="G188" s="3" t="s">
        <v>887</v>
      </c>
      <c r="H188" s="3" t="s">
        <v>132</v>
      </c>
      <c r="I188" s="3" t="s">
        <v>20</v>
      </c>
      <c r="J188" s="3" t="s">
        <v>119</v>
      </c>
      <c r="K188" s="3" t="s">
        <v>517</v>
      </c>
      <c r="L188" s="3" t="s">
        <v>38</v>
      </c>
      <c r="M188" s="3" t="s">
        <v>24</v>
      </c>
      <c r="N188" s="3" t="s">
        <v>25</v>
      </c>
      <c r="O188" t="str">
        <f>"2025-10-15"</f>
        <v>2025-10-15</v>
      </c>
      <c r="P188" t="str">
        <f>"2026-10-14"</f>
        <v>2026-10-14</v>
      </c>
    </row>
    <row r="189" spans="1:16" x14ac:dyDescent="0.2">
      <c r="A189" t="str" cm="1">
        <f t="array" ref="A189">_xlfn.LET(
    _xlpm.txt, B189,
    _xlpm.chars, MID(_xlpm.txt, _xlfn.SEQUENCE(LEN(_xlpm.txt)), 1),
    _xlpm.filtered, _xlfn._xlws.FILTER(_xlpm.chars, NOT(ISNUMBER(SEARCH(_xlpm.chars, "ABCDEFGHIJKLMNOPQRSTUVWXYZabcdefghijklmnopqrstuvwxyz")))),
    _xlfn.TEXTJOIN("",, _xlpm.filtered)
)</f>
        <v>000350</v>
      </c>
      <c r="B189" s="3" t="s">
        <v>888</v>
      </c>
      <c r="C189" s="3" t="s">
        <v>889</v>
      </c>
      <c r="D189" s="4">
        <v>180</v>
      </c>
      <c r="E189" s="3" t="s">
        <v>33</v>
      </c>
      <c r="F189" s="3" t="s">
        <v>890</v>
      </c>
      <c r="G189" s="3" t="s">
        <v>891</v>
      </c>
      <c r="H189" s="3" t="s">
        <v>892</v>
      </c>
      <c r="I189" s="3" t="s">
        <v>20</v>
      </c>
      <c r="J189" s="3" t="s">
        <v>21</v>
      </c>
      <c r="K189" s="3" t="s">
        <v>37</v>
      </c>
      <c r="L189" s="3" t="s">
        <v>38</v>
      </c>
      <c r="M189" s="3" t="s">
        <v>24</v>
      </c>
      <c r="N189" s="3" t="s">
        <v>25</v>
      </c>
      <c r="O189" t="str">
        <f>"2025-04-05"</f>
        <v>2025-04-05</v>
      </c>
      <c r="P189" t="str">
        <f>"2026-04-04"</f>
        <v>2026-04-04</v>
      </c>
    </row>
    <row r="190" spans="1:16" x14ac:dyDescent="0.2">
      <c r="A190" t="str" cm="1">
        <f t="array" ref="A190">_xlfn.LET(
    _xlpm.txt, B190,
    _xlpm.chars, MID(_xlpm.txt, _xlfn.SEQUENCE(LEN(_xlpm.txt)), 1),
    _xlpm.filtered, _xlfn._xlws.FILTER(_xlpm.chars, NOT(ISNUMBER(SEARCH(_xlpm.chars, "ABCDEFGHIJKLMNOPQRSTUVWXYZabcdefghijklmnopqrstuvwxyz")))),
    _xlfn.TEXTJOIN("",, _xlpm.filtered)
)</f>
        <v>000351</v>
      </c>
      <c r="B190" s="3" t="s">
        <v>893</v>
      </c>
      <c r="C190" s="3" t="s">
        <v>894</v>
      </c>
      <c r="D190" s="4">
        <v>360</v>
      </c>
      <c r="E190" s="3" t="s">
        <v>895</v>
      </c>
      <c r="F190" s="3" t="s">
        <v>896</v>
      </c>
      <c r="G190" s="3" t="s">
        <v>897</v>
      </c>
      <c r="H190" s="3" t="s">
        <v>84</v>
      </c>
      <c r="I190" s="3" t="s">
        <v>20</v>
      </c>
      <c r="J190" s="3" t="s">
        <v>60</v>
      </c>
      <c r="K190" s="3" t="s">
        <v>37</v>
      </c>
      <c r="L190" s="3" t="s">
        <v>23</v>
      </c>
      <c r="M190" s="3" t="s">
        <v>87</v>
      </c>
      <c r="N190" s="3" t="s">
        <v>25</v>
      </c>
      <c r="O190" t="str">
        <f>"2025-09-15"</f>
        <v>2025-09-15</v>
      </c>
      <c r="P190" t="str">
        <f>"2026-09-14"</f>
        <v>2026-09-14</v>
      </c>
    </row>
    <row r="191" spans="1:16" x14ac:dyDescent="0.2">
      <c r="A191" t="str" cm="1">
        <f t="array" ref="A191">_xlfn.LET(
    _xlpm.txt, B191,
    _xlpm.chars, MID(_xlpm.txt, _xlfn.SEQUENCE(LEN(_xlpm.txt)), 1),
    _xlpm.filtered, _xlfn._xlws.FILTER(_xlpm.chars, NOT(ISNUMBER(SEARCH(_xlpm.chars, "ABCDEFGHIJKLMNOPQRSTUVWXYZabcdefghijklmnopqrstuvwxyz")))),
    _xlfn.TEXTJOIN("",, _xlpm.filtered)
)</f>
        <v>000352</v>
      </c>
      <c r="B191" s="3" t="s">
        <v>898</v>
      </c>
      <c r="C191" s="3" t="s">
        <v>899</v>
      </c>
      <c r="D191" s="4">
        <v>1100</v>
      </c>
      <c r="E191" s="3" t="s">
        <v>188</v>
      </c>
      <c r="F191" s="3" t="s">
        <v>900</v>
      </c>
      <c r="G191" s="3" t="s">
        <v>901</v>
      </c>
      <c r="H191" s="3" t="s">
        <v>84</v>
      </c>
      <c r="I191" s="3" t="s">
        <v>20</v>
      </c>
      <c r="J191" s="3" t="s">
        <v>229</v>
      </c>
      <c r="K191" s="3" t="s">
        <v>499</v>
      </c>
      <c r="L191" s="3" t="s">
        <v>499</v>
      </c>
      <c r="M191" s="3" t="s">
        <v>499</v>
      </c>
      <c r="N191" s="3" t="s">
        <v>25</v>
      </c>
      <c r="O191" t="str">
        <f>"2025-01-01"</f>
        <v>2025-01-01</v>
      </c>
      <c r="P191" t="str">
        <f>"2026-12-31"</f>
        <v>2026-12-31</v>
      </c>
    </row>
    <row r="192" spans="1:16" x14ac:dyDescent="0.2">
      <c r="A192" t="str" cm="1">
        <f t="array" ref="A192">_xlfn.LET(
    _xlpm.txt, B192,
    _xlpm.chars, MID(_xlpm.txt, _xlfn.SEQUENCE(LEN(_xlpm.txt)), 1),
    _xlpm.filtered, _xlfn._xlws.FILTER(_xlpm.chars, NOT(ISNUMBER(SEARCH(_xlpm.chars, "ABCDEFGHIJKLMNOPQRSTUVWXYZabcdefghijklmnopqrstuvwxyz")))),
    _xlfn.TEXTJOIN("",, _xlpm.filtered)
)</f>
        <v>000354</v>
      </c>
      <c r="B192" s="3" t="s">
        <v>902</v>
      </c>
      <c r="C192" s="3" t="s">
        <v>903</v>
      </c>
      <c r="D192" s="4">
        <v>400</v>
      </c>
      <c r="E192" s="3" t="s">
        <v>904</v>
      </c>
      <c r="F192" s="3" t="s">
        <v>905</v>
      </c>
      <c r="G192" s="3" t="s">
        <v>906</v>
      </c>
      <c r="H192" s="3" t="s">
        <v>84</v>
      </c>
      <c r="I192" s="3" t="s">
        <v>20</v>
      </c>
      <c r="J192" s="3" t="s">
        <v>119</v>
      </c>
      <c r="K192" s="3" t="s">
        <v>22</v>
      </c>
      <c r="L192" s="3" t="s">
        <v>86</v>
      </c>
      <c r="M192" s="3" t="s">
        <v>48</v>
      </c>
      <c r="N192" s="3" t="s">
        <v>25</v>
      </c>
      <c r="O192" t="str">
        <f>"2025-02-01"</f>
        <v>2025-02-01</v>
      </c>
      <c r="P192" t="str">
        <f>"2026-01-31"</f>
        <v>2026-01-31</v>
      </c>
    </row>
    <row r="193" spans="1:16" x14ac:dyDescent="0.2">
      <c r="A193" t="str" cm="1">
        <f t="array" ref="A193">_xlfn.LET(
    _xlpm.txt, B193,
    _xlpm.chars, MID(_xlpm.txt, _xlfn.SEQUENCE(LEN(_xlpm.txt)), 1),
    _xlpm.filtered, _xlfn._xlws.FILTER(_xlpm.chars, NOT(ISNUMBER(SEARCH(_xlpm.chars, "ABCDEFGHIJKLMNOPQRSTUVWXYZabcdefghijklmnopqrstuvwxyz")))),
    _xlfn.TEXTJOIN("",, _xlpm.filtered)
)</f>
        <v>000355</v>
      </c>
      <c r="B193" s="3" t="s">
        <v>907</v>
      </c>
      <c r="C193" s="3" t="s">
        <v>899</v>
      </c>
      <c r="D193" s="4">
        <v>1100</v>
      </c>
      <c r="E193" s="3" t="s">
        <v>188</v>
      </c>
      <c r="F193" s="3" t="s">
        <v>908</v>
      </c>
      <c r="G193" s="3" t="s">
        <v>909</v>
      </c>
      <c r="H193" s="3" t="s">
        <v>59</v>
      </c>
      <c r="I193" s="3" t="s">
        <v>20</v>
      </c>
      <c r="J193" s="3" t="s">
        <v>229</v>
      </c>
      <c r="K193" s="3" t="s">
        <v>156</v>
      </c>
      <c r="L193" s="3" t="s">
        <v>156</v>
      </c>
      <c r="M193" s="3" t="s">
        <v>156</v>
      </c>
      <c r="N193" s="3" t="s">
        <v>25</v>
      </c>
      <c r="O193" t="str">
        <f>"2025-01-01"</f>
        <v>2025-01-01</v>
      </c>
      <c r="P193" t="str">
        <f>"2026-12-31"</f>
        <v>2026-12-31</v>
      </c>
    </row>
    <row r="194" spans="1:16" x14ac:dyDescent="0.2">
      <c r="A194" t="str" cm="1">
        <f t="array" ref="A194">_xlfn.LET(
    _xlpm.txt, B194,
    _xlpm.chars, MID(_xlpm.txt, _xlfn.SEQUENCE(LEN(_xlpm.txt)), 1),
    _xlpm.filtered, _xlfn._xlws.FILTER(_xlpm.chars, NOT(ISNUMBER(SEARCH(_xlpm.chars, "ABCDEFGHIJKLMNOPQRSTUVWXYZabcdefghijklmnopqrstuvwxyz")))),
    _xlfn.TEXTJOIN("",, _xlpm.filtered)
)</f>
        <v>000356</v>
      </c>
      <c r="B194" s="3" t="s">
        <v>910</v>
      </c>
      <c r="C194" s="3" t="s">
        <v>490</v>
      </c>
      <c r="D194" s="4">
        <v>450</v>
      </c>
      <c r="E194" s="3" t="s">
        <v>33</v>
      </c>
      <c r="F194" s="3" t="s">
        <v>911</v>
      </c>
      <c r="G194" s="3" t="s">
        <v>912</v>
      </c>
      <c r="H194" s="3" t="s">
        <v>84</v>
      </c>
      <c r="I194" s="3" t="s">
        <v>20</v>
      </c>
      <c r="J194" s="3" t="s">
        <v>21</v>
      </c>
      <c r="K194" s="3" t="s">
        <v>138</v>
      </c>
      <c r="L194" s="3" t="s">
        <v>913</v>
      </c>
      <c r="M194" s="3" t="s">
        <v>87</v>
      </c>
      <c r="N194" s="3" t="s">
        <v>25</v>
      </c>
      <c r="O194" t="str">
        <f>"2024-08-01"</f>
        <v>2024-08-01</v>
      </c>
      <c r="P194" t="str">
        <f>"2025-07-31"</f>
        <v>2025-07-31</v>
      </c>
    </row>
    <row r="195" spans="1:16" x14ac:dyDescent="0.2">
      <c r="A195" t="str" cm="1">
        <f t="array" ref="A195">_xlfn.LET(
    _xlpm.txt, B195,
    _xlpm.chars, MID(_xlpm.txt, _xlfn.SEQUENCE(LEN(_xlpm.txt)), 1),
    _xlpm.filtered, _xlfn._xlws.FILTER(_xlpm.chars, NOT(ISNUMBER(SEARCH(_xlpm.chars, "ABCDEFGHIJKLMNOPQRSTUVWXYZabcdefghijklmnopqrstuvwxyz")))),
    _xlfn.TEXTJOIN("",, _xlpm.filtered)
)</f>
        <v>000357</v>
      </c>
      <c r="B195" s="3" t="s">
        <v>914</v>
      </c>
      <c r="C195" s="3" t="s">
        <v>915</v>
      </c>
      <c r="D195" s="4">
        <v>450</v>
      </c>
      <c r="E195" s="3" t="s">
        <v>491</v>
      </c>
      <c r="F195" s="3" t="s">
        <v>916</v>
      </c>
      <c r="G195" s="3" t="s">
        <v>917</v>
      </c>
      <c r="H195" s="3" t="s">
        <v>84</v>
      </c>
      <c r="I195" s="3" t="s">
        <v>33</v>
      </c>
      <c r="J195" s="3" t="s">
        <v>214</v>
      </c>
      <c r="K195" s="3" t="s">
        <v>22</v>
      </c>
      <c r="L195" s="3" t="s">
        <v>138</v>
      </c>
      <c r="M195" s="3" t="s">
        <v>87</v>
      </c>
      <c r="N195" s="3" t="s">
        <v>25</v>
      </c>
      <c r="O195" t="str">
        <f>"2024-08-01"</f>
        <v>2024-08-01</v>
      </c>
      <c r="P195" t="str">
        <f>"2025-07-31"</f>
        <v>2025-07-31</v>
      </c>
    </row>
    <row r="196" spans="1:16" x14ac:dyDescent="0.2">
      <c r="A196" t="str" cm="1">
        <f t="array" ref="A196">_xlfn.LET(
    _xlpm.txt, B196,
    _xlpm.chars, MID(_xlpm.txt, _xlfn.SEQUENCE(LEN(_xlpm.txt)), 1),
    _xlpm.filtered, _xlfn._xlws.FILTER(_xlpm.chars, NOT(ISNUMBER(SEARCH(_xlpm.chars, "ABCDEFGHIJKLMNOPQRSTUVWXYZabcdefghijklmnopqrstuvwxyz")))),
    _xlfn.TEXTJOIN("",, _xlpm.filtered)
)</f>
        <v>000358</v>
      </c>
      <c r="B196" s="3" t="s">
        <v>918</v>
      </c>
      <c r="C196" s="3" t="s">
        <v>919</v>
      </c>
      <c r="D196" s="4">
        <v>450</v>
      </c>
      <c r="E196" s="3" t="s">
        <v>920</v>
      </c>
      <c r="F196" s="3" t="s">
        <v>921</v>
      </c>
      <c r="G196" s="3" t="s">
        <v>922</v>
      </c>
      <c r="H196" s="3" t="s">
        <v>84</v>
      </c>
      <c r="I196" s="3" t="s">
        <v>20</v>
      </c>
      <c r="J196" s="3" t="s">
        <v>21</v>
      </c>
      <c r="K196" s="3" t="s">
        <v>37</v>
      </c>
      <c r="L196" s="3" t="s">
        <v>174</v>
      </c>
      <c r="M196" s="3" t="s">
        <v>87</v>
      </c>
      <c r="N196" s="3" t="s">
        <v>25</v>
      </c>
      <c r="O196" t="str">
        <f>"2025-01-01"</f>
        <v>2025-01-01</v>
      </c>
      <c r="P196" t="str">
        <f>"2025-12-31"</f>
        <v>2025-12-31</v>
      </c>
    </row>
    <row r="197" spans="1:16" x14ac:dyDescent="0.2">
      <c r="A197" t="str" cm="1">
        <f t="array" ref="A197">_xlfn.LET(
    _xlpm.txt, B197,
    _xlpm.chars, MID(_xlpm.txt, _xlfn.SEQUENCE(LEN(_xlpm.txt)), 1),
    _xlpm.filtered, _xlfn._xlws.FILTER(_xlpm.chars, NOT(ISNUMBER(SEARCH(_xlpm.chars, "ABCDEFGHIJKLMNOPQRSTUVWXYZabcdefghijklmnopqrstuvwxyz")))),
    _xlfn.TEXTJOIN("",, _xlpm.filtered)
)</f>
        <v>000360</v>
      </c>
      <c r="B197" s="3" t="s">
        <v>924</v>
      </c>
      <c r="C197" s="3" t="s">
        <v>925</v>
      </c>
      <c r="D197" s="4">
        <v>180</v>
      </c>
      <c r="E197" s="3" t="s">
        <v>848</v>
      </c>
      <c r="F197" s="3" t="s">
        <v>926</v>
      </c>
      <c r="G197" s="3" t="s">
        <v>927</v>
      </c>
      <c r="H197" s="3" t="s">
        <v>928</v>
      </c>
      <c r="I197" s="3" t="s">
        <v>20</v>
      </c>
      <c r="J197" s="3" t="s">
        <v>85</v>
      </c>
      <c r="K197" s="3" t="s">
        <v>37</v>
      </c>
      <c r="L197" s="3" t="s">
        <v>174</v>
      </c>
      <c r="M197" s="3" t="s">
        <v>144</v>
      </c>
      <c r="N197" s="3" t="s">
        <v>25</v>
      </c>
      <c r="O197" t="str">
        <f>"2025-07-02"</f>
        <v>2025-07-02</v>
      </c>
      <c r="P197" t="str">
        <f>"2026-07-01"</f>
        <v>2026-07-01</v>
      </c>
    </row>
    <row r="198" spans="1:16" x14ac:dyDescent="0.2">
      <c r="A198" t="str" cm="1">
        <f t="array" ref="A198">_xlfn.LET(
    _xlpm.txt, B198,
    _xlpm.chars, MID(_xlpm.txt, _xlfn.SEQUENCE(LEN(_xlpm.txt)), 1),
    _xlpm.filtered, _xlfn._xlws.FILTER(_xlpm.chars, NOT(ISNUMBER(SEARCH(_xlpm.chars, "ABCDEFGHIJKLMNOPQRSTUVWXYZabcdefghijklmnopqrstuvwxyz")))),
    _xlfn.TEXTJOIN("",, _xlpm.filtered)
)</f>
        <v>000361</v>
      </c>
      <c r="B198" s="3" t="s">
        <v>929</v>
      </c>
      <c r="C198" s="3" t="s">
        <v>930</v>
      </c>
      <c r="D198" s="4">
        <v>180</v>
      </c>
      <c r="E198" s="3" t="s">
        <v>931</v>
      </c>
      <c r="F198" s="3" t="s">
        <v>932</v>
      </c>
      <c r="G198" s="3" t="s">
        <v>933</v>
      </c>
      <c r="H198" s="3" t="s">
        <v>294</v>
      </c>
      <c r="I198" s="3" t="s">
        <v>20</v>
      </c>
      <c r="J198" s="3" t="s">
        <v>33</v>
      </c>
      <c r="K198" s="3" t="s">
        <v>22</v>
      </c>
      <c r="L198" s="3" t="s">
        <v>38</v>
      </c>
      <c r="M198" s="3" t="s">
        <v>87</v>
      </c>
      <c r="N198" s="3" t="s">
        <v>25</v>
      </c>
      <c r="O198" t="str">
        <f>"2024-12-15"</f>
        <v>2024-12-15</v>
      </c>
      <c r="P198" t="str">
        <f>"2025-12-14"</f>
        <v>2025-12-14</v>
      </c>
    </row>
    <row r="199" spans="1:16" x14ac:dyDescent="0.2">
      <c r="A199" t="str" cm="1">
        <f t="array" ref="A199">_xlfn.LET(
    _xlpm.txt, B199,
    _xlpm.chars, MID(_xlpm.txt, _xlfn.SEQUENCE(LEN(_xlpm.txt)), 1),
    _xlpm.filtered, _xlfn._xlws.FILTER(_xlpm.chars, NOT(ISNUMBER(SEARCH(_xlpm.chars, "ABCDEFGHIJKLMNOPQRSTUVWXYZabcdefghijklmnopqrstuvwxyz")))),
    _xlfn.TEXTJOIN("",, _xlpm.filtered)
)</f>
        <v>000363</v>
      </c>
      <c r="B199" s="3" t="s">
        <v>934</v>
      </c>
      <c r="C199" s="3" t="s">
        <v>398</v>
      </c>
      <c r="D199" s="4">
        <v>200</v>
      </c>
      <c r="E199" s="3" t="s">
        <v>110</v>
      </c>
      <c r="F199" s="3" t="s">
        <v>33</v>
      </c>
      <c r="G199" s="3" t="s">
        <v>935</v>
      </c>
      <c r="H199" s="3" t="s">
        <v>936</v>
      </c>
      <c r="I199" s="3" t="s">
        <v>33</v>
      </c>
      <c r="J199" s="3" t="s">
        <v>36</v>
      </c>
      <c r="K199" s="3" t="s">
        <v>33</v>
      </c>
      <c r="L199" s="3" t="s">
        <v>38</v>
      </c>
      <c r="M199" s="3" t="s">
        <v>33</v>
      </c>
      <c r="N199" s="3" t="s">
        <v>25</v>
      </c>
      <c r="O199" t="str">
        <f>"2025-07-01"</f>
        <v>2025-07-01</v>
      </c>
      <c r="P199" t="str">
        <f>"2026-06-30"</f>
        <v>2026-06-30</v>
      </c>
    </row>
    <row r="200" spans="1:16" x14ac:dyDescent="0.2">
      <c r="A200" t="str" cm="1">
        <f t="array" ref="A200">_xlfn.LET(
    _xlpm.txt, B200,
    _xlpm.chars, MID(_xlpm.txt, _xlfn.SEQUENCE(LEN(_xlpm.txt)), 1),
    _xlpm.filtered, _xlfn._xlws.FILTER(_xlpm.chars, NOT(ISNUMBER(SEARCH(_xlpm.chars, "ABCDEFGHIJKLMNOPQRSTUVWXYZabcdefghijklmnopqrstuvwxyz")))),
    _xlfn.TEXTJOIN("",, _xlpm.filtered)
)</f>
        <v>000364</v>
      </c>
      <c r="B200" s="3" t="s">
        <v>937</v>
      </c>
      <c r="C200" s="3" t="s">
        <v>938</v>
      </c>
      <c r="D200" s="4">
        <v>140</v>
      </c>
      <c r="E200" s="3" t="s">
        <v>939</v>
      </c>
      <c r="F200" s="3" t="s">
        <v>33</v>
      </c>
      <c r="G200" s="3" t="s">
        <v>940</v>
      </c>
      <c r="H200" s="3" t="s">
        <v>941</v>
      </c>
      <c r="I200" s="3" t="s">
        <v>20</v>
      </c>
      <c r="J200" s="3" t="s">
        <v>67</v>
      </c>
      <c r="K200" s="3" t="s">
        <v>196</v>
      </c>
      <c r="L200" s="3" t="s">
        <v>174</v>
      </c>
      <c r="M200" s="3" t="s">
        <v>24</v>
      </c>
      <c r="N200" s="3" t="s">
        <v>25</v>
      </c>
      <c r="O200" t="str">
        <f>"2025-04-01"</f>
        <v>2025-04-01</v>
      </c>
      <c r="P200" t="str">
        <f>"2026-03-31"</f>
        <v>2026-03-31</v>
      </c>
    </row>
    <row r="201" spans="1:16" x14ac:dyDescent="0.2">
      <c r="A201" t="str" cm="1">
        <f t="array" ref="A201">_xlfn.LET(
    _xlpm.txt, B201,
    _xlpm.chars, MID(_xlpm.txt, _xlfn.SEQUENCE(LEN(_xlpm.txt)), 1),
    _xlpm.filtered, _xlfn._xlws.FILTER(_xlpm.chars, NOT(ISNUMBER(SEARCH(_xlpm.chars, "ABCDEFGHIJKLMNOPQRSTUVWXYZabcdefghijklmnopqrstuvwxyz")))),
    _xlfn.TEXTJOIN("",, _xlpm.filtered)
)</f>
        <v>000365</v>
      </c>
      <c r="B201" s="3" t="s">
        <v>942</v>
      </c>
      <c r="C201" s="3" t="s">
        <v>115</v>
      </c>
      <c r="D201" s="4">
        <v>400</v>
      </c>
      <c r="E201" s="3" t="s">
        <v>943</v>
      </c>
      <c r="F201" s="3" t="s">
        <v>33</v>
      </c>
      <c r="G201" s="3" t="s">
        <v>944</v>
      </c>
      <c r="H201" s="3" t="s">
        <v>945</v>
      </c>
      <c r="I201" s="3" t="s">
        <v>20</v>
      </c>
      <c r="J201" s="3" t="s">
        <v>73</v>
      </c>
      <c r="K201" s="3" t="s">
        <v>22</v>
      </c>
      <c r="L201" s="3" t="s">
        <v>23</v>
      </c>
      <c r="M201" s="3" t="s">
        <v>24</v>
      </c>
      <c r="N201" s="3" t="s">
        <v>25</v>
      </c>
      <c r="O201" t="str">
        <f>"2025-03-01"</f>
        <v>2025-03-01</v>
      </c>
      <c r="P201" t="str">
        <f>"2026-02-28"</f>
        <v>2026-02-28</v>
      </c>
    </row>
    <row r="202" spans="1:16" x14ac:dyDescent="0.2">
      <c r="A202" t="str" cm="1">
        <f t="array" ref="A202">_xlfn.LET(
    _xlpm.txt, B202,
    _xlpm.chars, MID(_xlpm.txt, _xlfn.SEQUENCE(LEN(_xlpm.txt)), 1),
    _xlpm.filtered, _xlfn._xlws.FILTER(_xlpm.chars, NOT(ISNUMBER(SEARCH(_xlpm.chars, "ABCDEFGHIJKLMNOPQRSTUVWXYZabcdefghijklmnopqrstuvwxyz")))),
    _xlfn.TEXTJOIN("",, _xlpm.filtered)
)</f>
        <v>000366</v>
      </c>
      <c r="B202" s="3" t="s">
        <v>946</v>
      </c>
      <c r="C202" s="3" t="s">
        <v>115</v>
      </c>
      <c r="D202" s="4">
        <v>400</v>
      </c>
      <c r="E202" s="3" t="s">
        <v>943</v>
      </c>
      <c r="F202" s="3" t="s">
        <v>33</v>
      </c>
      <c r="G202" s="3" t="s">
        <v>947</v>
      </c>
      <c r="H202" s="3" t="s">
        <v>945</v>
      </c>
      <c r="I202" s="3" t="s">
        <v>20</v>
      </c>
      <c r="J202" s="3" t="s">
        <v>73</v>
      </c>
      <c r="K202" s="3" t="s">
        <v>22</v>
      </c>
      <c r="L202" s="3" t="s">
        <v>23</v>
      </c>
      <c r="M202" s="3" t="s">
        <v>24</v>
      </c>
      <c r="N202" s="3" t="s">
        <v>25</v>
      </c>
      <c r="O202" t="str">
        <f>"2025-03-01"</f>
        <v>2025-03-01</v>
      </c>
      <c r="P202" t="str">
        <f>"2026-02-28"</f>
        <v>2026-02-28</v>
      </c>
    </row>
    <row r="203" spans="1:16" x14ac:dyDescent="0.2">
      <c r="A203" t="str" cm="1">
        <f t="array" ref="A203">_xlfn.LET(
    _xlpm.txt, B203,
    _xlpm.chars, MID(_xlpm.txt, _xlfn.SEQUENCE(LEN(_xlpm.txt)), 1),
    _xlpm.filtered, _xlfn._xlws.FILTER(_xlpm.chars, NOT(ISNUMBER(SEARCH(_xlpm.chars, "ABCDEFGHIJKLMNOPQRSTUVWXYZabcdefghijklmnopqrstuvwxyz")))),
    _xlfn.TEXTJOIN("",, _xlpm.filtered)
)</f>
        <v>000367</v>
      </c>
      <c r="B203" s="3" t="s">
        <v>948</v>
      </c>
      <c r="C203" s="3" t="s">
        <v>115</v>
      </c>
      <c r="D203" s="4">
        <v>400</v>
      </c>
      <c r="E203" s="3" t="s">
        <v>943</v>
      </c>
      <c r="F203" s="3" t="s">
        <v>949</v>
      </c>
      <c r="G203" s="3" t="s">
        <v>950</v>
      </c>
      <c r="H203" s="3" t="s">
        <v>945</v>
      </c>
      <c r="I203" s="3" t="s">
        <v>20</v>
      </c>
      <c r="J203" s="3" t="s">
        <v>73</v>
      </c>
      <c r="K203" s="3" t="s">
        <v>22</v>
      </c>
      <c r="L203" s="3" t="s">
        <v>23</v>
      </c>
      <c r="M203" s="3" t="s">
        <v>24</v>
      </c>
      <c r="N203" s="3" t="s">
        <v>25</v>
      </c>
      <c r="O203" t="str">
        <f>"2025-03-01"</f>
        <v>2025-03-01</v>
      </c>
      <c r="P203" t="str">
        <f>"2026-02-28"</f>
        <v>2026-02-28</v>
      </c>
    </row>
    <row r="204" spans="1:16" x14ac:dyDescent="0.2">
      <c r="A204" t="str" cm="1">
        <f t="array" ref="A204">_xlfn.LET(
    _xlpm.txt, B204,
    _xlpm.chars, MID(_xlpm.txt, _xlfn.SEQUENCE(LEN(_xlpm.txt)), 1),
    _xlpm.filtered, _xlfn._xlws.FILTER(_xlpm.chars, NOT(ISNUMBER(SEARCH(_xlpm.chars, "ABCDEFGHIJKLMNOPQRSTUVWXYZabcdefghijklmnopqrstuvwxyz")))),
    _xlfn.TEXTJOIN("",, _xlpm.filtered)
)</f>
        <v>000369</v>
      </c>
      <c r="B204" s="3" t="s">
        <v>951</v>
      </c>
      <c r="C204" s="3" t="s">
        <v>952</v>
      </c>
      <c r="D204" s="4">
        <v>100</v>
      </c>
      <c r="E204" s="3" t="s">
        <v>953</v>
      </c>
      <c r="F204" s="3" t="s">
        <v>33</v>
      </c>
      <c r="G204" s="3" t="s">
        <v>954</v>
      </c>
      <c r="H204" s="3" t="s">
        <v>928</v>
      </c>
      <c r="I204" s="3" t="s">
        <v>20</v>
      </c>
      <c r="J204" s="3" t="s">
        <v>85</v>
      </c>
      <c r="K204" s="3" t="s">
        <v>37</v>
      </c>
      <c r="L204" s="3" t="s">
        <v>38</v>
      </c>
      <c r="M204" s="3" t="s">
        <v>24</v>
      </c>
      <c r="N204" s="3" t="s">
        <v>273</v>
      </c>
      <c r="O204" t="str">
        <f>"2025-07-01"</f>
        <v>2025-07-01</v>
      </c>
      <c r="P204" t="str">
        <f>"2026-06-30"</f>
        <v>2026-06-30</v>
      </c>
    </row>
    <row r="205" spans="1:16" x14ac:dyDescent="0.2">
      <c r="A205" t="str" cm="1">
        <f t="array" ref="A205">_xlfn.LET(
    _xlpm.txt, B205,
    _xlpm.chars, MID(_xlpm.txt, _xlfn.SEQUENCE(LEN(_xlpm.txt)), 1),
    _xlpm.filtered, _xlfn._xlws.FILTER(_xlpm.chars, NOT(ISNUMBER(SEARCH(_xlpm.chars, "ABCDEFGHIJKLMNOPQRSTUVWXYZabcdefghijklmnopqrstuvwxyz")))),
    _xlfn.TEXTJOIN("",, _xlpm.filtered)
)</f>
        <v>000370</v>
      </c>
      <c r="B205" s="3" t="s">
        <v>955</v>
      </c>
      <c r="C205" s="3" t="s">
        <v>956</v>
      </c>
      <c r="D205" s="4">
        <v>200</v>
      </c>
      <c r="E205" s="3" t="s">
        <v>953</v>
      </c>
      <c r="F205" s="3" t="s">
        <v>33</v>
      </c>
      <c r="G205" s="3" t="s">
        <v>957</v>
      </c>
      <c r="H205" s="3" t="s">
        <v>928</v>
      </c>
      <c r="I205" s="3" t="s">
        <v>20</v>
      </c>
      <c r="J205" s="3" t="s">
        <v>36</v>
      </c>
      <c r="K205" s="3" t="s">
        <v>958</v>
      </c>
      <c r="L205" s="3" t="s">
        <v>38</v>
      </c>
      <c r="M205" s="3" t="s">
        <v>959</v>
      </c>
      <c r="N205" s="3" t="s">
        <v>273</v>
      </c>
      <c r="O205" t="str">
        <f>"2025-07-02"</f>
        <v>2025-07-02</v>
      </c>
      <c r="P205" t="str">
        <f>"2026-07-01"</f>
        <v>2026-07-01</v>
      </c>
    </row>
    <row r="206" spans="1:16" x14ac:dyDescent="0.2">
      <c r="A206" t="str" cm="1">
        <f t="array" ref="A206">_xlfn.LET(
    _xlpm.txt, B206,
    _xlpm.chars, MID(_xlpm.txt, _xlfn.SEQUENCE(LEN(_xlpm.txt)), 1),
    _xlpm.filtered, _xlfn._xlws.FILTER(_xlpm.chars, NOT(ISNUMBER(SEARCH(_xlpm.chars, "ABCDEFGHIJKLMNOPQRSTUVWXYZabcdefghijklmnopqrstuvwxyz")))),
    _xlfn.TEXTJOIN("",, _xlpm.filtered)
)</f>
        <v>000371</v>
      </c>
      <c r="B206" s="3" t="s">
        <v>960</v>
      </c>
      <c r="C206" s="3" t="s">
        <v>115</v>
      </c>
      <c r="D206" s="4">
        <v>400</v>
      </c>
      <c r="E206" s="3" t="s">
        <v>943</v>
      </c>
      <c r="F206" s="3" t="s">
        <v>33</v>
      </c>
      <c r="G206" s="3" t="s">
        <v>961</v>
      </c>
      <c r="H206" s="3" t="s">
        <v>59</v>
      </c>
      <c r="I206" s="3" t="s">
        <v>20</v>
      </c>
      <c r="J206" s="3" t="s">
        <v>119</v>
      </c>
      <c r="K206" s="3" t="s">
        <v>962</v>
      </c>
      <c r="L206" s="3" t="s">
        <v>138</v>
      </c>
      <c r="M206" s="3" t="s">
        <v>87</v>
      </c>
      <c r="N206" s="3" t="s">
        <v>25</v>
      </c>
      <c r="O206" t="str">
        <f>"2025-03-01"</f>
        <v>2025-03-01</v>
      </c>
      <c r="P206" t="str">
        <f>"2026-02-28"</f>
        <v>2026-02-28</v>
      </c>
    </row>
    <row r="207" spans="1:16" x14ac:dyDescent="0.2">
      <c r="A207" t="str" cm="1">
        <f t="array" ref="A207">_xlfn.LET(
    _xlpm.txt, B207,
    _xlpm.chars, MID(_xlpm.txt, _xlfn.SEQUENCE(LEN(_xlpm.txt)), 1),
    _xlpm.filtered, _xlfn._xlws.FILTER(_xlpm.chars, NOT(ISNUMBER(SEARCH(_xlpm.chars, "ABCDEFGHIJKLMNOPQRSTUVWXYZabcdefghijklmnopqrstuvwxyz")))),
    _xlfn.TEXTJOIN("",, _xlpm.filtered)
)</f>
        <v>000372</v>
      </c>
      <c r="B207" s="3" t="s">
        <v>963</v>
      </c>
      <c r="C207" s="3" t="s">
        <v>121</v>
      </c>
      <c r="D207" s="4">
        <v>170</v>
      </c>
      <c r="E207" s="3" t="s">
        <v>122</v>
      </c>
      <c r="F207" s="3" t="s">
        <v>964</v>
      </c>
      <c r="G207" s="3" t="s">
        <v>965</v>
      </c>
      <c r="H207" s="3" t="s">
        <v>132</v>
      </c>
      <c r="I207" s="3" t="s">
        <v>20</v>
      </c>
      <c r="J207" s="3" t="s">
        <v>60</v>
      </c>
      <c r="K207" s="3" t="s">
        <v>22</v>
      </c>
      <c r="L207" s="3" t="s">
        <v>296</v>
      </c>
      <c r="M207" s="3" t="s">
        <v>297</v>
      </c>
      <c r="N207" s="3" t="s">
        <v>25</v>
      </c>
      <c r="O207" t="str">
        <f>"2025-02-15"</f>
        <v>2025-02-15</v>
      </c>
      <c r="P207" t="str">
        <f>"2026-02-14"</f>
        <v>2026-02-14</v>
      </c>
    </row>
    <row r="208" spans="1:16" x14ac:dyDescent="0.2">
      <c r="A208" t="str" cm="1">
        <f t="array" ref="A208">_xlfn.LET(
    _xlpm.txt, B208,
    _xlpm.chars, MID(_xlpm.txt, _xlfn.SEQUENCE(LEN(_xlpm.txt)), 1),
    _xlpm.filtered, _xlfn._xlws.FILTER(_xlpm.chars, NOT(ISNUMBER(SEARCH(_xlpm.chars, "ABCDEFGHIJKLMNOPQRSTUVWXYZabcdefghijklmnopqrstuvwxyz")))),
    _xlfn.TEXTJOIN("",, _xlpm.filtered)
)</f>
        <v>000373</v>
      </c>
      <c r="B208" s="3" t="s">
        <v>966</v>
      </c>
      <c r="C208" s="3" t="s">
        <v>967</v>
      </c>
      <c r="D208" s="4">
        <v>120</v>
      </c>
      <c r="E208" s="3" t="s">
        <v>968</v>
      </c>
      <c r="F208" s="3" t="s">
        <v>33</v>
      </c>
      <c r="G208" s="3" t="s">
        <v>969</v>
      </c>
      <c r="H208" s="3" t="s">
        <v>418</v>
      </c>
      <c r="I208" s="3" t="s">
        <v>33</v>
      </c>
      <c r="J208" s="3" t="s">
        <v>511</v>
      </c>
      <c r="K208" s="3" t="s">
        <v>33</v>
      </c>
      <c r="L208" s="3" t="s">
        <v>33</v>
      </c>
      <c r="M208" s="3" t="s">
        <v>33</v>
      </c>
      <c r="N208" s="3" t="s">
        <v>25</v>
      </c>
      <c r="O208" t="str">
        <f>"2025-02-10"</f>
        <v>2025-02-10</v>
      </c>
      <c r="P208" t="str">
        <f>"2026-02-09"</f>
        <v>2026-02-09</v>
      </c>
    </row>
    <row r="209" spans="1:16" x14ac:dyDescent="0.2">
      <c r="A209" t="str" cm="1">
        <f t="array" ref="A209">_xlfn.LET(
    _xlpm.txt, B209,
    _xlpm.chars, MID(_xlpm.txt, _xlfn.SEQUENCE(LEN(_xlpm.txt)), 1),
    _xlpm.filtered, _xlfn._xlws.FILTER(_xlpm.chars, NOT(ISNUMBER(SEARCH(_xlpm.chars, "ABCDEFGHIJKLMNOPQRSTUVWXYZabcdefghijklmnopqrstuvwxyz")))),
    _xlfn.TEXTJOIN("",, _xlpm.filtered)
)</f>
        <v>000374</v>
      </c>
      <c r="B209" s="3" t="s">
        <v>970</v>
      </c>
      <c r="C209" s="3" t="s">
        <v>347</v>
      </c>
      <c r="D209" s="4">
        <v>180</v>
      </c>
      <c r="E209" s="3" t="s">
        <v>971</v>
      </c>
      <c r="F209" s="3" t="s">
        <v>972</v>
      </c>
      <c r="G209" s="3" t="s">
        <v>973</v>
      </c>
      <c r="H209" s="3" t="s">
        <v>84</v>
      </c>
      <c r="I209" s="3" t="s">
        <v>20</v>
      </c>
      <c r="J209" s="3" t="s">
        <v>73</v>
      </c>
      <c r="K209" s="3" t="s">
        <v>46</v>
      </c>
      <c r="L209" s="3" t="s">
        <v>38</v>
      </c>
      <c r="M209" s="3" t="s">
        <v>164</v>
      </c>
      <c r="N209" s="3" t="s">
        <v>25</v>
      </c>
      <c r="O209" t="str">
        <f>"2025-02-15"</f>
        <v>2025-02-15</v>
      </c>
      <c r="P209" t="str">
        <f>"2026-02-14"</f>
        <v>2026-02-14</v>
      </c>
    </row>
    <row r="210" spans="1:16" x14ac:dyDescent="0.2">
      <c r="A210" t="str" cm="1">
        <f t="array" ref="A210">_xlfn.LET(
    _xlpm.txt, B210,
    _xlpm.chars, MID(_xlpm.txt, _xlfn.SEQUENCE(LEN(_xlpm.txt)), 1),
    _xlpm.filtered, _xlfn._xlws.FILTER(_xlpm.chars, NOT(ISNUMBER(SEARCH(_xlpm.chars, "ABCDEFGHIJKLMNOPQRSTUVWXYZabcdefghijklmnopqrstuvwxyz")))),
    _xlfn.TEXTJOIN("",, _xlpm.filtered)
)</f>
        <v>000375</v>
      </c>
      <c r="B210" s="3" t="s">
        <v>974</v>
      </c>
      <c r="C210" s="3" t="s">
        <v>347</v>
      </c>
      <c r="D210" s="4">
        <v>360</v>
      </c>
      <c r="E210" s="3" t="s">
        <v>348</v>
      </c>
      <c r="F210" s="3" t="s">
        <v>975</v>
      </c>
      <c r="G210" s="3" t="s">
        <v>976</v>
      </c>
      <c r="H210" s="3" t="s">
        <v>84</v>
      </c>
      <c r="I210" s="3" t="s">
        <v>20</v>
      </c>
      <c r="J210" s="3" t="s">
        <v>73</v>
      </c>
      <c r="K210" s="3" t="s">
        <v>174</v>
      </c>
      <c r="L210" s="3" t="s">
        <v>174</v>
      </c>
      <c r="M210" s="3" t="s">
        <v>87</v>
      </c>
      <c r="N210" s="3" t="s">
        <v>25</v>
      </c>
      <c r="O210" t="str">
        <f>"2025-02-16"</f>
        <v>2025-02-16</v>
      </c>
      <c r="P210" t="str">
        <f>"2026-02-15"</f>
        <v>2026-02-15</v>
      </c>
    </row>
    <row r="211" spans="1:16" x14ac:dyDescent="0.2">
      <c r="A211" t="str" cm="1">
        <f t="array" ref="A211">_xlfn.LET(
    _xlpm.txt, B211,
    _xlpm.chars, MID(_xlpm.txt, _xlfn.SEQUENCE(LEN(_xlpm.txt)), 1),
    _xlpm.filtered, _xlfn._xlws.FILTER(_xlpm.chars, NOT(ISNUMBER(SEARCH(_xlpm.chars, "ABCDEFGHIJKLMNOPQRSTUVWXYZabcdefghijklmnopqrstuvwxyz")))),
    _xlfn.TEXTJOIN("",, _xlpm.filtered)
)</f>
        <v>000376</v>
      </c>
      <c r="B211" s="3" t="s">
        <v>977</v>
      </c>
      <c r="C211" s="3" t="s">
        <v>978</v>
      </c>
      <c r="D211" s="4">
        <v>480</v>
      </c>
      <c r="E211" s="3" t="s">
        <v>122</v>
      </c>
      <c r="F211" s="3" t="s">
        <v>979</v>
      </c>
      <c r="G211" s="3" t="s">
        <v>980</v>
      </c>
      <c r="H211" s="3" t="s">
        <v>981</v>
      </c>
      <c r="I211" s="3" t="s">
        <v>20</v>
      </c>
      <c r="J211" s="3" t="s">
        <v>36</v>
      </c>
      <c r="K211" s="3" t="s">
        <v>37</v>
      </c>
      <c r="L211" s="3" t="s">
        <v>23</v>
      </c>
      <c r="M211" s="3" t="s">
        <v>24</v>
      </c>
      <c r="N211" s="3" t="s">
        <v>25</v>
      </c>
      <c r="O211" t="str">
        <f>"2025-05-01"</f>
        <v>2025-05-01</v>
      </c>
      <c r="P211" t="str">
        <f>"2026-04-30"</f>
        <v>2026-04-30</v>
      </c>
    </row>
    <row r="212" spans="1:16" x14ac:dyDescent="0.2">
      <c r="A212" t="str" cm="1">
        <f t="array" ref="A212">_xlfn.LET(
    _xlpm.txt, B212,
    _xlpm.chars, MID(_xlpm.txt, _xlfn.SEQUENCE(LEN(_xlpm.txt)), 1),
    _xlpm.filtered, _xlfn._xlws.FILTER(_xlpm.chars, NOT(ISNUMBER(SEARCH(_xlpm.chars, "ABCDEFGHIJKLMNOPQRSTUVWXYZabcdefghijklmnopqrstuvwxyz")))),
    _xlfn.TEXTJOIN("",, _xlpm.filtered)
)</f>
        <v>000377</v>
      </c>
      <c r="B212" s="3" t="s">
        <v>982</v>
      </c>
      <c r="C212" s="3" t="s">
        <v>978</v>
      </c>
      <c r="D212" s="4">
        <v>360</v>
      </c>
      <c r="E212" s="3" t="s">
        <v>122</v>
      </c>
      <c r="F212" s="3" t="s">
        <v>983</v>
      </c>
      <c r="G212" s="3" t="s">
        <v>984</v>
      </c>
      <c r="H212" s="3" t="s">
        <v>132</v>
      </c>
      <c r="I212" s="3" t="s">
        <v>20</v>
      </c>
      <c r="J212" s="3" t="s">
        <v>214</v>
      </c>
      <c r="K212" s="3" t="s">
        <v>37</v>
      </c>
      <c r="L212" s="3" t="s">
        <v>163</v>
      </c>
      <c r="M212" s="3" t="s">
        <v>87</v>
      </c>
      <c r="N212" s="3" t="s">
        <v>25</v>
      </c>
      <c r="O212" t="str">
        <f>"2025-05-01"</f>
        <v>2025-05-01</v>
      </c>
      <c r="P212" t="str">
        <f>"2026-04-30"</f>
        <v>2026-04-30</v>
      </c>
    </row>
    <row r="213" spans="1:16" x14ac:dyDescent="0.2">
      <c r="A213" t="str" cm="1">
        <f t="array" ref="A213">_xlfn.LET(
    _xlpm.txt, B213,
    _xlpm.chars, MID(_xlpm.txt, _xlfn.SEQUENCE(LEN(_xlpm.txt)), 1),
    _xlpm.filtered, _xlfn._xlws.FILTER(_xlpm.chars, NOT(ISNUMBER(SEARCH(_xlpm.chars, "ABCDEFGHIJKLMNOPQRSTUVWXYZabcdefghijklmnopqrstuvwxyz")))),
    _xlfn.TEXTJOIN("",, _xlpm.filtered)
)</f>
        <v>000378</v>
      </c>
      <c r="B213" s="3" t="s">
        <v>985</v>
      </c>
      <c r="C213" s="3" t="s">
        <v>986</v>
      </c>
      <c r="D213" s="4">
        <v>360</v>
      </c>
      <c r="E213" s="3" t="s">
        <v>767</v>
      </c>
      <c r="F213" s="3" t="s">
        <v>33</v>
      </c>
      <c r="G213" s="3" t="s">
        <v>987</v>
      </c>
      <c r="H213" s="3" t="s">
        <v>487</v>
      </c>
      <c r="I213" s="3" t="s">
        <v>20</v>
      </c>
      <c r="J213" s="3" t="s">
        <v>214</v>
      </c>
      <c r="K213" s="3" t="s">
        <v>988</v>
      </c>
      <c r="L213" s="3" t="s">
        <v>913</v>
      </c>
      <c r="M213" s="3" t="s">
        <v>48</v>
      </c>
      <c r="N213" s="3" t="s">
        <v>33</v>
      </c>
      <c r="O213" t="str">
        <f>"2025-01-01"</f>
        <v>2025-01-01</v>
      </c>
      <c r="P213" t="str">
        <f>"2025-12-31"</f>
        <v>2025-12-31</v>
      </c>
    </row>
    <row r="214" spans="1:16" x14ac:dyDescent="0.2">
      <c r="A214" t="str" cm="1">
        <f t="array" ref="A214">_xlfn.LET(
    _xlpm.txt, B214,
    _xlpm.chars, MID(_xlpm.txt, _xlfn.SEQUENCE(LEN(_xlpm.txt)), 1),
    _xlpm.filtered, _xlfn._xlws.FILTER(_xlpm.chars, NOT(ISNUMBER(SEARCH(_xlpm.chars, "ABCDEFGHIJKLMNOPQRSTUVWXYZabcdefghijklmnopqrstuvwxyz")))),
    _xlfn.TEXTJOIN("",, _xlpm.filtered)
)</f>
        <v>000380</v>
      </c>
      <c r="B214" s="3" t="s">
        <v>989</v>
      </c>
      <c r="C214" s="3" t="s">
        <v>625</v>
      </c>
      <c r="D214" s="4">
        <v>150</v>
      </c>
      <c r="E214" s="3" t="s">
        <v>33</v>
      </c>
      <c r="F214" s="3" t="s">
        <v>33</v>
      </c>
      <c r="G214" s="3" t="s">
        <v>990</v>
      </c>
      <c r="H214" s="3" t="s">
        <v>991</v>
      </c>
      <c r="I214" s="3" t="s">
        <v>20</v>
      </c>
      <c r="J214" s="3" t="s">
        <v>67</v>
      </c>
      <c r="K214" s="3" t="s">
        <v>37</v>
      </c>
      <c r="L214" s="3" t="s">
        <v>23</v>
      </c>
      <c r="M214" s="3" t="s">
        <v>24</v>
      </c>
      <c r="N214" s="3" t="s">
        <v>25</v>
      </c>
      <c r="O214" t="str">
        <f>"2024-06-01"</f>
        <v>2024-06-01</v>
      </c>
      <c r="P214" t="str">
        <f>"2025-05-31"</f>
        <v>2025-05-31</v>
      </c>
    </row>
    <row r="215" spans="1:16" x14ac:dyDescent="0.2">
      <c r="A215" t="str" cm="1">
        <f t="array" ref="A215">_xlfn.LET(
    _xlpm.txt, B215,
    _xlpm.chars, MID(_xlpm.txt, _xlfn.SEQUENCE(LEN(_xlpm.txt)), 1),
    _xlpm.filtered, _xlfn._xlws.FILTER(_xlpm.chars, NOT(ISNUMBER(SEARCH(_xlpm.chars, "ABCDEFGHIJKLMNOPQRSTUVWXYZabcdefghijklmnopqrstuvwxyz")))),
    _xlfn.TEXTJOIN("",, _xlpm.filtered)
)</f>
        <v>000381</v>
      </c>
      <c r="B215" s="3" t="s">
        <v>992</v>
      </c>
      <c r="C215" s="3" t="s">
        <v>993</v>
      </c>
      <c r="D215" s="4">
        <v>120</v>
      </c>
      <c r="E215" s="3" t="s">
        <v>348</v>
      </c>
      <c r="F215" s="3" t="s">
        <v>33</v>
      </c>
      <c r="G215" s="3" t="s">
        <v>994</v>
      </c>
      <c r="H215" s="3" t="s">
        <v>308</v>
      </c>
      <c r="I215" s="3" t="s">
        <v>33</v>
      </c>
      <c r="J215" s="3" t="s">
        <v>85</v>
      </c>
      <c r="K215" s="3" t="s">
        <v>37</v>
      </c>
      <c r="L215" s="3" t="s">
        <v>47</v>
      </c>
      <c r="M215" s="3" t="s">
        <v>87</v>
      </c>
      <c r="N215" s="3" t="s">
        <v>25</v>
      </c>
      <c r="O215" t="str">
        <f>"2025-06-01"</f>
        <v>2025-06-01</v>
      </c>
      <c r="P215" t="str">
        <f>"2026-05-31"</f>
        <v>2026-05-31</v>
      </c>
    </row>
    <row r="216" spans="1:16" x14ac:dyDescent="0.2">
      <c r="A216" t="str" cm="1">
        <f t="array" ref="A216">_xlfn.LET(
    _xlpm.txt, B216,
    _xlpm.chars, MID(_xlpm.txt, _xlfn.SEQUENCE(LEN(_xlpm.txt)), 1),
    _xlpm.filtered, _xlfn._xlws.FILTER(_xlpm.chars, NOT(ISNUMBER(SEARCH(_xlpm.chars, "ABCDEFGHIJKLMNOPQRSTUVWXYZabcdefghijklmnopqrstuvwxyz")))),
    _xlfn.TEXTJOIN("",, _xlpm.filtered)
)</f>
        <v>000382</v>
      </c>
      <c r="B216" s="3" t="s">
        <v>995</v>
      </c>
      <c r="C216" s="3" t="s">
        <v>121</v>
      </c>
      <c r="D216" s="4">
        <v>300</v>
      </c>
      <c r="E216" s="3" t="s">
        <v>122</v>
      </c>
      <c r="F216" s="3" t="s">
        <v>996</v>
      </c>
      <c r="G216" s="3" t="s">
        <v>997</v>
      </c>
      <c r="H216" s="3" t="s">
        <v>981</v>
      </c>
      <c r="I216" s="3" t="s">
        <v>33</v>
      </c>
      <c r="J216" s="3" t="s">
        <v>36</v>
      </c>
      <c r="K216" s="3" t="s">
        <v>998</v>
      </c>
      <c r="L216" s="3" t="s">
        <v>156</v>
      </c>
      <c r="M216" s="3" t="s">
        <v>998</v>
      </c>
      <c r="N216" s="3" t="s">
        <v>25</v>
      </c>
      <c r="O216" t="str">
        <f>"2025-07-01"</f>
        <v>2025-07-01</v>
      </c>
      <c r="P216" t="str">
        <f>"2026-06-30"</f>
        <v>2026-06-30</v>
      </c>
    </row>
    <row r="217" spans="1:16" x14ac:dyDescent="0.2">
      <c r="A217" t="str" cm="1">
        <f t="array" ref="A217">_xlfn.LET(
    _xlpm.txt, B217,
    _xlpm.chars, MID(_xlpm.txt, _xlfn.SEQUENCE(LEN(_xlpm.txt)), 1),
    _xlpm.filtered, _xlfn._xlws.FILTER(_xlpm.chars, NOT(ISNUMBER(SEARCH(_xlpm.chars, "ABCDEFGHIJKLMNOPQRSTUVWXYZabcdefghijklmnopqrstuvwxyz")))),
    _xlfn.TEXTJOIN("",, _xlpm.filtered)
)</f>
        <v>000383</v>
      </c>
      <c r="B217" s="3" t="s">
        <v>999</v>
      </c>
      <c r="C217" s="3" t="s">
        <v>121</v>
      </c>
      <c r="D217" s="4">
        <v>360</v>
      </c>
      <c r="E217" s="3" t="s">
        <v>122</v>
      </c>
      <c r="F217" s="3" t="s">
        <v>1000</v>
      </c>
      <c r="G217" s="3" t="s">
        <v>1001</v>
      </c>
      <c r="H217" s="3" t="s">
        <v>112</v>
      </c>
      <c r="I217" s="3" t="s">
        <v>20</v>
      </c>
      <c r="J217" s="3" t="s">
        <v>73</v>
      </c>
      <c r="K217" s="3" t="s">
        <v>1002</v>
      </c>
      <c r="L217" s="3" t="s">
        <v>47</v>
      </c>
      <c r="M217" s="3" t="s">
        <v>1003</v>
      </c>
      <c r="N217" s="3" t="s">
        <v>25</v>
      </c>
      <c r="O217" t="str">
        <f>"2025-07-01"</f>
        <v>2025-07-01</v>
      </c>
      <c r="P217" t="str">
        <f>"2026-06-30"</f>
        <v>2026-06-30</v>
      </c>
    </row>
    <row r="218" spans="1:16" x14ac:dyDescent="0.2">
      <c r="A218" t="str" cm="1">
        <f t="array" ref="A218">_xlfn.LET(
    _xlpm.txt, B218,
    _xlpm.chars, MID(_xlpm.txt, _xlfn.SEQUENCE(LEN(_xlpm.txt)), 1),
    _xlpm.filtered, _xlfn._xlws.FILTER(_xlpm.chars, NOT(ISNUMBER(SEARCH(_xlpm.chars, "ABCDEFGHIJKLMNOPQRSTUVWXYZabcdefghijklmnopqrstuvwxyz")))),
    _xlfn.TEXTJOIN("",, _xlpm.filtered)
)</f>
        <v>000384</v>
      </c>
      <c r="B218" s="3" t="s">
        <v>1004</v>
      </c>
      <c r="C218" s="3" t="s">
        <v>1005</v>
      </c>
      <c r="D218" s="4">
        <v>390</v>
      </c>
      <c r="E218" s="3" t="s">
        <v>1006</v>
      </c>
      <c r="F218" s="3" t="s">
        <v>1007</v>
      </c>
      <c r="G218" s="3" t="s">
        <v>1008</v>
      </c>
      <c r="H218" s="3" t="s">
        <v>945</v>
      </c>
      <c r="I218" s="3" t="s">
        <v>20</v>
      </c>
      <c r="J218" s="3" t="s">
        <v>21</v>
      </c>
      <c r="K218" s="3" t="s">
        <v>22</v>
      </c>
      <c r="L218" s="3" t="s">
        <v>23</v>
      </c>
      <c r="M218" s="3" t="s">
        <v>47</v>
      </c>
      <c r="N218" s="3" t="s">
        <v>25</v>
      </c>
      <c r="O218" t="str">
        <f>"2025-07-01"</f>
        <v>2025-07-01</v>
      </c>
      <c r="P218" t="str">
        <f>"2026-06-30"</f>
        <v>2026-06-30</v>
      </c>
    </row>
    <row r="219" spans="1:16" x14ac:dyDescent="0.2">
      <c r="A219" t="str" cm="1">
        <f t="array" ref="A219">_xlfn.LET(
    _xlpm.txt, B219,
    _xlpm.chars, MID(_xlpm.txt, _xlfn.SEQUENCE(LEN(_xlpm.txt)), 1),
    _xlpm.filtered, _xlfn._xlws.FILTER(_xlpm.chars, NOT(ISNUMBER(SEARCH(_xlpm.chars, "ABCDEFGHIJKLMNOPQRSTUVWXYZabcdefghijklmnopqrstuvwxyz")))),
    _xlfn.TEXTJOIN("",, _xlpm.filtered)
)</f>
        <v>000386</v>
      </c>
      <c r="B219" s="3" t="s">
        <v>1009</v>
      </c>
      <c r="C219" s="3" t="s">
        <v>187</v>
      </c>
      <c r="D219" s="4" t="s">
        <v>2785</v>
      </c>
      <c r="E219" s="3" t="s">
        <v>188</v>
      </c>
      <c r="F219" s="3" t="s">
        <v>1010</v>
      </c>
      <c r="G219" s="3" t="s">
        <v>1011</v>
      </c>
      <c r="H219" s="3" t="s">
        <v>132</v>
      </c>
      <c r="I219" s="3" t="s">
        <v>20</v>
      </c>
      <c r="J219" s="3" t="s">
        <v>21</v>
      </c>
      <c r="K219" s="3" t="s">
        <v>22</v>
      </c>
      <c r="L219" s="3" t="s">
        <v>38</v>
      </c>
      <c r="M219" s="3" t="s">
        <v>87</v>
      </c>
      <c r="N219" s="3" t="s">
        <v>25</v>
      </c>
      <c r="O219" t="str">
        <f>"2025-01-01"</f>
        <v>2025-01-01</v>
      </c>
      <c r="P219" t="str">
        <f>"2026-12-31"</f>
        <v>2026-12-31</v>
      </c>
    </row>
    <row r="220" spans="1:16" x14ac:dyDescent="0.2">
      <c r="A220" t="str" cm="1">
        <f t="array" ref="A220">_xlfn.LET(
    _xlpm.txt, B220,
    _xlpm.chars, MID(_xlpm.txt, _xlfn.SEQUENCE(LEN(_xlpm.txt)), 1),
    _xlpm.filtered, _xlfn._xlws.FILTER(_xlpm.chars, NOT(ISNUMBER(SEARCH(_xlpm.chars, "ABCDEFGHIJKLMNOPQRSTUVWXYZabcdefghijklmnopqrstuvwxyz")))),
    _xlfn.TEXTJOIN("",, _xlpm.filtered)
)</f>
        <v>000387</v>
      </c>
      <c r="B220" s="3" t="s">
        <v>1012</v>
      </c>
      <c r="C220" s="3" t="s">
        <v>724</v>
      </c>
      <c r="D220" s="4">
        <v>360</v>
      </c>
      <c r="E220" s="3" t="s">
        <v>725</v>
      </c>
      <c r="F220" s="3" t="s">
        <v>1013</v>
      </c>
      <c r="G220" s="3" t="s">
        <v>1014</v>
      </c>
      <c r="H220" s="3" t="s">
        <v>132</v>
      </c>
      <c r="I220" s="3" t="s">
        <v>20</v>
      </c>
      <c r="J220" s="3" t="s">
        <v>119</v>
      </c>
      <c r="K220" s="3" t="s">
        <v>174</v>
      </c>
      <c r="L220" s="3" t="s">
        <v>174</v>
      </c>
      <c r="M220" s="3" t="s">
        <v>1015</v>
      </c>
      <c r="N220" s="3" t="s">
        <v>25</v>
      </c>
      <c r="O220" t="str">
        <f>"2025-01-01"</f>
        <v>2025-01-01</v>
      </c>
      <c r="P220" t="str">
        <f>"2025-12-31"</f>
        <v>2025-12-31</v>
      </c>
    </row>
    <row r="221" spans="1:16" x14ac:dyDescent="0.2">
      <c r="A221" t="str" cm="1">
        <f t="array" ref="A221">_xlfn.LET(
    _xlpm.txt, B221,
    _xlpm.chars, MID(_xlpm.txt, _xlfn.SEQUENCE(LEN(_xlpm.txt)), 1),
    _xlpm.filtered, _xlfn._xlws.FILTER(_xlpm.chars, NOT(ISNUMBER(SEARCH(_xlpm.chars, "ABCDEFGHIJKLMNOPQRSTUVWXYZabcdefghijklmnopqrstuvwxyz")))),
    _xlfn.TEXTJOIN("",, _xlpm.filtered)
)</f>
        <v>000388</v>
      </c>
      <c r="B221" s="3" t="s">
        <v>1016</v>
      </c>
      <c r="C221" s="3" t="s">
        <v>1017</v>
      </c>
      <c r="D221" s="4">
        <v>180</v>
      </c>
      <c r="E221" s="3" t="s">
        <v>1018</v>
      </c>
      <c r="F221" s="3" t="s">
        <v>1019</v>
      </c>
      <c r="G221" s="3" t="s">
        <v>1020</v>
      </c>
      <c r="H221" s="3" t="s">
        <v>1021</v>
      </c>
      <c r="I221" s="3" t="s">
        <v>20</v>
      </c>
      <c r="J221" s="3" t="s">
        <v>67</v>
      </c>
      <c r="K221" s="3" t="s">
        <v>22</v>
      </c>
      <c r="L221" s="3" t="s">
        <v>23</v>
      </c>
      <c r="M221" s="3" t="s">
        <v>24</v>
      </c>
      <c r="N221" s="3" t="s">
        <v>25</v>
      </c>
      <c r="O221" t="str">
        <f>"2025-08-05"</f>
        <v>2025-08-05</v>
      </c>
      <c r="P221" t="str">
        <f>"2026-08-04"</f>
        <v>2026-08-04</v>
      </c>
    </row>
    <row r="222" spans="1:16" x14ac:dyDescent="0.2">
      <c r="A222" t="str" cm="1">
        <f t="array" ref="A222">_xlfn.LET(
    _xlpm.txt, B222,
    _xlpm.chars, MID(_xlpm.txt, _xlfn.SEQUENCE(LEN(_xlpm.txt)), 1),
    _xlpm.filtered, _xlfn._xlws.FILTER(_xlpm.chars, NOT(ISNUMBER(SEARCH(_xlpm.chars, "ABCDEFGHIJKLMNOPQRSTUVWXYZabcdefghijklmnopqrstuvwxyz")))),
    _xlfn.TEXTJOIN("",, _xlpm.filtered)
)</f>
        <v>000389</v>
      </c>
      <c r="B222" s="3" t="s">
        <v>1022</v>
      </c>
      <c r="C222" s="3" t="s">
        <v>1023</v>
      </c>
      <c r="D222" s="4">
        <v>150</v>
      </c>
      <c r="E222" s="3" t="s">
        <v>1024</v>
      </c>
      <c r="F222" s="3" t="s">
        <v>1025</v>
      </c>
      <c r="G222" s="3" t="s">
        <v>1026</v>
      </c>
      <c r="H222" s="3" t="s">
        <v>202</v>
      </c>
      <c r="I222" s="3" t="s">
        <v>20</v>
      </c>
      <c r="J222" s="3" t="s">
        <v>67</v>
      </c>
      <c r="K222" s="3" t="s">
        <v>37</v>
      </c>
      <c r="L222" s="3" t="s">
        <v>38</v>
      </c>
      <c r="M222" s="3" t="s">
        <v>24</v>
      </c>
      <c r="N222" s="3" t="s">
        <v>25</v>
      </c>
      <c r="O222" t="str">
        <f>"2024-11-01"</f>
        <v>2024-11-01</v>
      </c>
      <c r="P222" t="str">
        <f>"2025-10-31"</f>
        <v>2025-10-31</v>
      </c>
    </row>
    <row r="223" spans="1:16" x14ac:dyDescent="0.2">
      <c r="A223" t="str" cm="1">
        <f t="array" ref="A223">_xlfn.LET(
    _xlpm.txt, B223,
    _xlpm.chars, MID(_xlpm.txt, _xlfn.SEQUENCE(LEN(_xlpm.txt)), 1),
    _xlpm.filtered, _xlfn._xlws.FILTER(_xlpm.chars, NOT(ISNUMBER(SEARCH(_xlpm.chars, "ABCDEFGHIJKLMNOPQRSTUVWXYZabcdefghijklmnopqrstuvwxyz")))),
    _xlfn.TEXTJOIN("",, _xlpm.filtered)
)</f>
        <v>000390</v>
      </c>
      <c r="B223" s="3" t="s">
        <v>1027</v>
      </c>
      <c r="C223" s="3" t="s">
        <v>1028</v>
      </c>
      <c r="D223" s="4">
        <v>150</v>
      </c>
      <c r="E223" s="3" t="s">
        <v>1029</v>
      </c>
      <c r="F223" s="3" t="s">
        <v>33</v>
      </c>
      <c r="G223" s="3" t="s">
        <v>1030</v>
      </c>
      <c r="H223" s="3" t="s">
        <v>202</v>
      </c>
      <c r="I223" s="3" t="s">
        <v>20</v>
      </c>
      <c r="J223" s="3" t="s">
        <v>36</v>
      </c>
      <c r="K223" s="3" t="s">
        <v>37</v>
      </c>
      <c r="L223" s="3" t="s">
        <v>23</v>
      </c>
      <c r="M223" s="3" t="s">
        <v>24</v>
      </c>
      <c r="N223" s="3" t="s">
        <v>25</v>
      </c>
      <c r="O223" t="str">
        <f>"2024-11-01"</f>
        <v>2024-11-01</v>
      </c>
      <c r="P223" t="str">
        <f>"2025-10-31"</f>
        <v>2025-10-31</v>
      </c>
    </row>
    <row r="224" spans="1:16" x14ac:dyDescent="0.2">
      <c r="A224" t="str" cm="1">
        <f t="array" ref="A224">_xlfn.LET(
    _xlpm.txt, B224,
    _xlpm.chars, MID(_xlpm.txt, _xlfn.SEQUENCE(LEN(_xlpm.txt)), 1),
    _xlpm.filtered, _xlfn._xlws.FILTER(_xlpm.chars, NOT(ISNUMBER(SEARCH(_xlpm.chars, "ABCDEFGHIJKLMNOPQRSTUVWXYZabcdefghijklmnopqrstuvwxyz")))),
    _xlfn.TEXTJOIN("",, _xlpm.filtered)
)</f>
        <v>000392</v>
      </c>
      <c r="B224" s="3" t="s">
        <v>1031</v>
      </c>
      <c r="C224" s="3" t="s">
        <v>1032</v>
      </c>
      <c r="D224" s="4">
        <v>350</v>
      </c>
      <c r="E224" s="3" t="s">
        <v>1033</v>
      </c>
      <c r="F224" s="3" t="s">
        <v>1010</v>
      </c>
      <c r="G224" s="3" t="s">
        <v>1034</v>
      </c>
      <c r="H224" s="3" t="s">
        <v>132</v>
      </c>
      <c r="I224" s="3" t="s">
        <v>20</v>
      </c>
      <c r="J224" s="3" t="s">
        <v>21</v>
      </c>
      <c r="K224" s="3" t="s">
        <v>37</v>
      </c>
      <c r="L224" s="3" t="s">
        <v>38</v>
      </c>
      <c r="M224" s="3" t="s">
        <v>62</v>
      </c>
      <c r="N224" s="3" t="s">
        <v>25</v>
      </c>
      <c r="O224" t="str">
        <f>"2025-08-01"</f>
        <v>2025-08-01</v>
      </c>
      <c r="P224" t="str">
        <f>"2026-07-31"</f>
        <v>2026-07-31</v>
      </c>
    </row>
    <row r="225" spans="1:16" x14ac:dyDescent="0.2">
      <c r="A225" t="str" cm="1">
        <f t="array" ref="A225">_xlfn.LET(
    _xlpm.txt, B225,
    _xlpm.chars, MID(_xlpm.txt, _xlfn.SEQUENCE(LEN(_xlpm.txt)), 1),
    _xlpm.filtered, _xlfn._xlws.FILTER(_xlpm.chars, NOT(ISNUMBER(SEARCH(_xlpm.chars, "ABCDEFGHIJKLMNOPQRSTUVWXYZabcdefghijklmnopqrstuvwxyz")))),
    _xlfn.TEXTJOIN("",, _xlpm.filtered)
)</f>
        <v>000395</v>
      </c>
      <c r="B225" s="3" t="s">
        <v>1035</v>
      </c>
      <c r="C225" s="3" t="s">
        <v>1036</v>
      </c>
      <c r="D225" s="4">
        <v>500</v>
      </c>
      <c r="E225" s="3" t="s">
        <v>172</v>
      </c>
      <c r="F225" s="3" t="s">
        <v>1037</v>
      </c>
      <c r="G225" s="3" t="s">
        <v>1038</v>
      </c>
      <c r="H225" s="3" t="s">
        <v>155</v>
      </c>
      <c r="I225" s="3" t="s">
        <v>20</v>
      </c>
      <c r="J225" s="3" t="s">
        <v>36</v>
      </c>
      <c r="K225" s="3" t="s">
        <v>499</v>
      </c>
      <c r="L225" s="3" t="s">
        <v>499</v>
      </c>
      <c r="M225" s="3" t="s">
        <v>499</v>
      </c>
      <c r="N225" s="3" t="s">
        <v>25</v>
      </c>
      <c r="O225" t="str">
        <f>"2025-10-01"</f>
        <v>2025-10-01</v>
      </c>
      <c r="P225" t="str">
        <f>"2026-09-30"</f>
        <v>2026-09-30</v>
      </c>
    </row>
    <row r="226" spans="1:16" x14ac:dyDescent="0.2">
      <c r="A226" t="str" cm="1">
        <f t="array" ref="A226">_xlfn.LET(
    _xlpm.txt, B226,
    _xlpm.chars, MID(_xlpm.txt, _xlfn.SEQUENCE(LEN(_xlpm.txt)), 1),
    _xlpm.filtered, _xlfn._xlws.FILTER(_xlpm.chars, NOT(ISNUMBER(SEARCH(_xlpm.chars, "ABCDEFGHIJKLMNOPQRSTUVWXYZabcdefghijklmnopqrstuvwxyz")))),
    _xlfn.TEXTJOIN("",, _xlpm.filtered)
)</f>
        <v>000396</v>
      </c>
      <c r="B226" s="3" t="s">
        <v>1039</v>
      </c>
      <c r="C226" s="3" t="s">
        <v>121</v>
      </c>
      <c r="D226" s="4">
        <v>300</v>
      </c>
      <c r="E226" s="3" t="s">
        <v>333</v>
      </c>
      <c r="F226" s="3" t="s">
        <v>33</v>
      </c>
      <c r="G226" s="3" t="s">
        <v>1040</v>
      </c>
      <c r="H226" s="3" t="s">
        <v>892</v>
      </c>
      <c r="I226" s="3" t="s">
        <v>20</v>
      </c>
      <c r="J226" s="3" t="s">
        <v>214</v>
      </c>
      <c r="K226" s="3" t="s">
        <v>22</v>
      </c>
      <c r="L226" s="3" t="s">
        <v>1041</v>
      </c>
      <c r="M226" s="3" t="s">
        <v>1042</v>
      </c>
      <c r="N226" s="3" t="s">
        <v>25</v>
      </c>
      <c r="O226" t="str">
        <f>"2024-10-05"</f>
        <v>2024-10-05</v>
      </c>
      <c r="P226" t="str">
        <f>"2025-10-04"</f>
        <v>2025-10-04</v>
      </c>
    </row>
    <row r="227" spans="1:16" x14ac:dyDescent="0.2">
      <c r="A227" t="str" cm="1">
        <f t="array" ref="A227">_xlfn.LET(
    _xlpm.txt, B227,
    _xlpm.chars, MID(_xlpm.txt, _xlfn.SEQUENCE(LEN(_xlpm.txt)), 1),
    _xlpm.filtered, _xlfn._xlws.FILTER(_xlpm.chars, NOT(ISNUMBER(SEARCH(_xlpm.chars, "ABCDEFGHIJKLMNOPQRSTUVWXYZabcdefghijklmnopqrstuvwxyz")))),
    _xlfn.TEXTJOIN("",, _xlpm.filtered)
)</f>
        <v>000397</v>
      </c>
      <c r="B227" s="3" t="s">
        <v>1043</v>
      </c>
      <c r="C227" s="3" t="s">
        <v>766</v>
      </c>
      <c r="D227" s="4">
        <v>350</v>
      </c>
      <c r="E227" s="3" t="s">
        <v>33</v>
      </c>
      <c r="F227" s="3" t="s">
        <v>1044</v>
      </c>
      <c r="G227" s="3" t="s">
        <v>1045</v>
      </c>
      <c r="H227" s="3" t="s">
        <v>59</v>
      </c>
      <c r="I227" s="3" t="s">
        <v>20</v>
      </c>
      <c r="J227" s="3" t="s">
        <v>119</v>
      </c>
      <c r="K227" s="3" t="s">
        <v>988</v>
      </c>
      <c r="L227" s="3" t="s">
        <v>913</v>
      </c>
      <c r="M227" s="3" t="s">
        <v>33</v>
      </c>
      <c r="N227" s="3" t="s">
        <v>33</v>
      </c>
      <c r="O227" t="str">
        <f>"2025-01-01"</f>
        <v>2025-01-01</v>
      </c>
      <c r="P227" t="str">
        <f>"2025-12-31"</f>
        <v>2025-12-31</v>
      </c>
    </row>
    <row r="228" spans="1:16" x14ac:dyDescent="0.2">
      <c r="A228" t="str" cm="1">
        <f t="array" ref="A228">_xlfn.LET(
    _xlpm.txt, B228,
    _xlpm.chars, MID(_xlpm.txt, _xlfn.SEQUENCE(LEN(_xlpm.txt)), 1),
    _xlpm.filtered, _xlfn._xlws.FILTER(_xlpm.chars, NOT(ISNUMBER(SEARCH(_xlpm.chars, "ABCDEFGHIJKLMNOPQRSTUVWXYZabcdefghijklmnopqrstuvwxyz")))),
    _xlfn.TEXTJOIN("",, _xlpm.filtered)
)</f>
        <v>000398</v>
      </c>
      <c r="B228" s="3" t="s">
        <v>1046</v>
      </c>
      <c r="C228" s="3" t="s">
        <v>1047</v>
      </c>
      <c r="D228" s="4">
        <v>250</v>
      </c>
      <c r="E228" s="3" t="s">
        <v>1048</v>
      </c>
      <c r="F228" s="3" t="s">
        <v>1049</v>
      </c>
      <c r="G228" s="3" t="s">
        <v>1050</v>
      </c>
      <c r="H228" s="3" t="s">
        <v>400</v>
      </c>
      <c r="I228" s="3" t="s">
        <v>20</v>
      </c>
      <c r="J228" s="3" t="s">
        <v>36</v>
      </c>
      <c r="K228" s="3" t="s">
        <v>37</v>
      </c>
      <c r="L228" s="3" t="s">
        <v>38</v>
      </c>
      <c r="M228" s="3" t="s">
        <v>87</v>
      </c>
      <c r="N228" s="3" t="s">
        <v>33</v>
      </c>
      <c r="O228" t="str">
        <f>"2025-01-15"</f>
        <v>2025-01-15</v>
      </c>
      <c r="P228" t="str">
        <f>"2026-01-14"</f>
        <v>2026-01-14</v>
      </c>
    </row>
    <row r="229" spans="1:16" x14ac:dyDescent="0.2">
      <c r="A229" t="str" cm="1">
        <f t="array" ref="A229">_xlfn.LET(
    _xlpm.txt, B229,
    _xlpm.chars, MID(_xlpm.txt, _xlfn.SEQUENCE(LEN(_xlpm.txt)), 1),
    _xlpm.filtered, _xlfn._xlws.FILTER(_xlpm.chars, NOT(ISNUMBER(SEARCH(_xlpm.chars, "ABCDEFGHIJKLMNOPQRSTUVWXYZabcdefghijklmnopqrstuvwxyz")))),
    _xlfn.TEXTJOIN("",, _xlpm.filtered)
)</f>
        <v>000399</v>
      </c>
      <c r="B229" s="3" t="s">
        <v>1051</v>
      </c>
      <c r="C229" s="3" t="s">
        <v>1052</v>
      </c>
      <c r="D229" s="4">
        <v>350</v>
      </c>
      <c r="E229" s="3" t="s">
        <v>1053</v>
      </c>
      <c r="F229" s="3" t="s">
        <v>1054</v>
      </c>
      <c r="G229" s="3" t="s">
        <v>1055</v>
      </c>
      <c r="H229" s="3" t="s">
        <v>84</v>
      </c>
      <c r="I229" s="3" t="s">
        <v>20</v>
      </c>
      <c r="J229" s="3" t="s">
        <v>119</v>
      </c>
      <c r="K229" s="3" t="s">
        <v>37</v>
      </c>
      <c r="L229" s="3" t="s">
        <v>174</v>
      </c>
      <c r="M229" s="3" t="s">
        <v>87</v>
      </c>
      <c r="N229" s="3" t="s">
        <v>25</v>
      </c>
      <c r="O229" t="str">
        <f>"2025-04-01"</f>
        <v>2025-04-01</v>
      </c>
      <c r="P229" t="str">
        <f>"2026-03-31"</f>
        <v>2026-03-31</v>
      </c>
    </row>
    <row r="230" spans="1:16" x14ac:dyDescent="0.2">
      <c r="A230" t="str" cm="1">
        <f t="array" ref="A230">_xlfn.LET(
    _xlpm.txt, B230,
    _xlpm.chars, MID(_xlpm.txt, _xlfn.SEQUENCE(LEN(_xlpm.txt)), 1),
    _xlpm.filtered, _xlfn._xlws.FILTER(_xlpm.chars, NOT(ISNUMBER(SEARCH(_xlpm.chars, "ABCDEFGHIJKLMNOPQRSTUVWXYZabcdefghijklmnopqrstuvwxyz")))),
    _xlfn.TEXTJOIN("",, _xlpm.filtered)
)</f>
        <v>000401</v>
      </c>
      <c r="B230" s="3" t="s">
        <v>1056</v>
      </c>
      <c r="C230" s="3" t="s">
        <v>766</v>
      </c>
      <c r="D230" s="4">
        <v>350</v>
      </c>
      <c r="E230" s="3" t="s">
        <v>33</v>
      </c>
      <c r="F230" s="3" t="s">
        <v>1057</v>
      </c>
      <c r="G230" s="3" t="s">
        <v>1058</v>
      </c>
      <c r="H230" s="3" t="s">
        <v>84</v>
      </c>
      <c r="I230" s="3" t="s">
        <v>20</v>
      </c>
      <c r="J230" s="3" t="s">
        <v>21</v>
      </c>
      <c r="K230" s="3" t="s">
        <v>988</v>
      </c>
      <c r="L230" s="3" t="s">
        <v>913</v>
      </c>
      <c r="M230" s="3" t="s">
        <v>87</v>
      </c>
      <c r="N230" s="3" t="s">
        <v>33</v>
      </c>
      <c r="O230" t="str">
        <f>"2025-01-01"</f>
        <v>2025-01-01</v>
      </c>
      <c r="P230" t="str">
        <f>"2025-12-31"</f>
        <v>2025-12-31</v>
      </c>
    </row>
    <row r="231" spans="1:16" x14ac:dyDescent="0.2">
      <c r="A231" t="str" cm="1">
        <f t="array" ref="A231">_xlfn.LET(
    _xlpm.txt, B231,
    _xlpm.chars, MID(_xlpm.txt, _xlfn.SEQUENCE(LEN(_xlpm.txt)), 1),
    _xlpm.filtered, _xlfn._xlws.FILTER(_xlpm.chars, NOT(ISNUMBER(SEARCH(_xlpm.chars, "ABCDEFGHIJKLMNOPQRSTUVWXYZabcdefghijklmnopqrstuvwxyz")))),
    _xlfn.TEXTJOIN("",, _xlpm.filtered)
)</f>
        <v>000402</v>
      </c>
      <c r="B231" s="3" t="s">
        <v>1059</v>
      </c>
      <c r="C231" s="3" t="s">
        <v>766</v>
      </c>
      <c r="D231" s="4">
        <v>350</v>
      </c>
      <c r="E231" s="3" t="s">
        <v>33</v>
      </c>
      <c r="F231" s="3" t="s">
        <v>1060</v>
      </c>
      <c r="G231" s="3" t="s">
        <v>1061</v>
      </c>
      <c r="H231" s="3" t="s">
        <v>19</v>
      </c>
      <c r="I231" s="3" t="s">
        <v>20</v>
      </c>
      <c r="J231" s="3" t="s">
        <v>119</v>
      </c>
      <c r="K231" s="3" t="s">
        <v>988</v>
      </c>
      <c r="L231" s="3" t="s">
        <v>913</v>
      </c>
      <c r="M231" s="3" t="s">
        <v>1062</v>
      </c>
      <c r="N231" s="3" t="s">
        <v>33</v>
      </c>
      <c r="O231" t="str">
        <f>"2025-01-01"</f>
        <v>2025-01-01</v>
      </c>
      <c r="P231" t="str">
        <f>"2025-12-31"</f>
        <v>2025-12-31</v>
      </c>
    </row>
    <row r="232" spans="1:16" x14ac:dyDescent="0.2">
      <c r="A232" t="str" cm="1">
        <f t="array" ref="A232">_xlfn.LET(
    _xlpm.txt, B232,
    _xlpm.chars, MID(_xlpm.txt, _xlfn.SEQUENCE(LEN(_xlpm.txt)), 1),
    _xlpm.filtered, _xlfn._xlws.FILTER(_xlpm.chars, NOT(ISNUMBER(SEARCH(_xlpm.chars, "ABCDEFGHIJKLMNOPQRSTUVWXYZabcdefghijklmnopqrstuvwxyz")))),
    _xlfn.TEXTJOIN("",, _xlpm.filtered)
)</f>
        <v>000403</v>
      </c>
      <c r="B232" s="3" t="s">
        <v>1063</v>
      </c>
      <c r="C232" s="3" t="s">
        <v>1005</v>
      </c>
      <c r="D232" s="4">
        <v>390</v>
      </c>
      <c r="E232" s="3" t="s">
        <v>1006</v>
      </c>
      <c r="F232" s="3" t="s">
        <v>33</v>
      </c>
      <c r="G232" s="3" t="s">
        <v>1064</v>
      </c>
      <c r="H232" s="3" t="s">
        <v>945</v>
      </c>
      <c r="I232" s="3" t="s">
        <v>20</v>
      </c>
      <c r="J232" s="3" t="s">
        <v>73</v>
      </c>
      <c r="K232" s="3" t="s">
        <v>22</v>
      </c>
      <c r="L232" s="3" t="s">
        <v>23</v>
      </c>
      <c r="M232" s="3" t="s">
        <v>24</v>
      </c>
      <c r="N232" s="3" t="s">
        <v>25</v>
      </c>
      <c r="O232" t="str">
        <f>"2025-01-01"</f>
        <v>2025-01-01</v>
      </c>
      <c r="P232" t="str">
        <f>"2025-12-31"</f>
        <v>2025-12-31</v>
      </c>
    </row>
    <row r="233" spans="1:16" x14ac:dyDescent="0.2">
      <c r="A233" t="str" cm="1">
        <f t="array" ref="A233">_xlfn.LET(
    _xlpm.txt, B233,
    _xlpm.chars, MID(_xlpm.txt, _xlfn.SEQUENCE(LEN(_xlpm.txt)), 1),
    _xlpm.filtered, _xlfn._xlws.FILTER(_xlpm.chars, NOT(ISNUMBER(SEARCH(_xlpm.chars, "ABCDEFGHIJKLMNOPQRSTUVWXYZabcdefghijklmnopqrstuvwxyz")))),
    _xlfn.TEXTJOIN("",, _xlpm.filtered)
)</f>
        <v>000404</v>
      </c>
      <c r="B233" s="3" t="s">
        <v>1065</v>
      </c>
      <c r="C233" s="3" t="s">
        <v>1005</v>
      </c>
      <c r="D233" s="4">
        <v>120</v>
      </c>
      <c r="E233" s="3" t="s">
        <v>1006</v>
      </c>
      <c r="F233" s="3" t="s">
        <v>33</v>
      </c>
      <c r="G233" s="3" t="s">
        <v>1066</v>
      </c>
      <c r="H233" s="3" t="s">
        <v>945</v>
      </c>
      <c r="I233" s="3" t="s">
        <v>20</v>
      </c>
      <c r="J233" s="3" t="s">
        <v>36</v>
      </c>
      <c r="K233" s="3" t="s">
        <v>37</v>
      </c>
      <c r="L233" s="3" t="s">
        <v>38</v>
      </c>
      <c r="M233" s="3" t="s">
        <v>48</v>
      </c>
      <c r="N233" s="3" t="s">
        <v>25</v>
      </c>
      <c r="O233" t="str">
        <f>"2025-01-01"</f>
        <v>2025-01-01</v>
      </c>
      <c r="P233" t="str">
        <f>"2025-12-31"</f>
        <v>2025-12-31</v>
      </c>
    </row>
    <row r="234" spans="1:16" x14ac:dyDescent="0.2">
      <c r="A234" t="str" cm="1">
        <f t="array" ref="A234">_xlfn.LET(
    _xlpm.txt, B234,
    _xlpm.chars, MID(_xlpm.txt, _xlfn.SEQUENCE(LEN(_xlpm.txt)), 1),
    _xlpm.filtered, _xlfn._xlws.FILTER(_xlpm.chars, NOT(ISNUMBER(SEARCH(_xlpm.chars, "ABCDEFGHIJKLMNOPQRSTUVWXYZabcdefghijklmnopqrstuvwxyz")))),
    _xlfn.TEXTJOIN("",, _xlpm.filtered)
)</f>
        <v>000406</v>
      </c>
      <c r="B234" s="3" t="s">
        <v>1067</v>
      </c>
      <c r="C234" s="3" t="s">
        <v>1068</v>
      </c>
      <c r="D234" s="4">
        <v>500</v>
      </c>
      <c r="E234" s="3" t="s">
        <v>434</v>
      </c>
      <c r="F234" s="3" t="s">
        <v>1069</v>
      </c>
      <c r="G234" s="3" t="s">
        <v>1070</v>
      </c>
      <c r="H234" s="3" t="s">
        <v>59</v>
      </c>
      <c r="I234" s="3" t="s">
        <v>20</v>
      </c>
      <c r="J234" s="3" t="s">
        <v>214</v>
      </c>
      <c r="K234" s="3" t="s">
        <v>37</v>
      </c>
      <c r="L234" s="3" t="s">
        <v>38</v>
      </c>
      <c r="M234" s="3" t="s">
        <v>164</v>
      </c>
      <c r="N234" s="3" t="s">
        <v>25</v>
      </c>
      <c r="O234" t="str">
        <f>"2025-08-10"</f>
        <v>2025-08-10</v>
      </c>
      <c r="P234" t="str">
        <f>"2026-08-09"</f>
        <v>2026-08-09</v>
      </c>
    </row>
    <row r="235" spans="1:16" x14ac:dyDescent="0.2">
      <c r="A235" t="str" cm="1">
        <f t="array" ref="A235">_xlfn.LET(
    _xlpm.txt, B235,
    _xlpm.chars, MID(_xlpm.txt, _xlfn.SEQUENCE(LEN(_xlpm.txt)), 1),
    _xlpm.filtered, _xlfn._xlws.FILTER(_xlpm.chars, NOT(ISNUMBER(SEARCH(_xlpm.chars, "ABCDEFGHIJKLMNOPQRSTUVWXYZabcdefghijklmnopqrstuvwxyz")))),
    _xlfn.TEXTJOIN("",, _xlpm.filtered)
)</f>
        <v>000407</v>
      </c>
      <c r="B235" s="3" t="s">
        <v>1071</v>
      </c>
      <c r="C235" s="3" t="s">
        <v>1072</v>
      </c>
      <c r="D235" s="4">
        <v>400</v>
      </c>
      <c r="E235" s="3" t="s">
        <v>181</v>
      </c>
      <c r="F235" s="3" t="s">
        <v>33</v>
      </c>
      <c r="G235" s="3" t="s">
        <v>1073</v>
      </c>
      <c r="H235" s="3" t="s">
        <v>184</v>
      </c>
      <c r="I235" s="3" t="s">
        <v>20</v>
      </c>
      <c r="J235" s="3" t="s">
        <v>73</v>
      </c>
      <c r="K235" s="3" t="s">
        <v>22</v>
      </c>
      <c r="L235" s="3" t="s">
        <v>23</v>
      </c>
      <c r="M235" s="3" t="s">
        <v>24</v>
      </c>
      <c r="N235" s="3" t="s">
        <v>25</v>
      </c>
      <c r="O235" t="str">
        <f>"2025-09-15"</f>
        <v>2025-09-15</v>
      </c>
      <c r="P235" t="str">
        <f>"2026-09-14"</f>
        <v>2026-09-14</v>
      </c>
    </row>
    <row r="236" spans="1:16" x14ac:dyDescent="0.2">
      <c r="A236" t="str" cm="1">
        <f t="array" ref="A236">_xlfn.LET(
    _xlpm.txt, B236,
    _xlpm.chars, MID(_xlpm.txt, _xlfn.SEQUENCE(LEN(_xlpm.txt)), 1),
    _xlpm.filtered, _xlfn._xlws.FILTER(_xlpm.chars, NOT(ISNUMBER(SEARCH(_xlpm.chars, "ABCDEFGHIJKLMNOPQRSTUVWXYZabcdefghijklmnopqrstuvwxyz")))),
    _xlfn.TEXTJOIN("",, _xlpm.filtered)
)</f>
        <v>000408</v>
      </c>
      <c r="B236" s="3" t="s">
        <v>1074</v>
      </c>
      <c r="C236" s="3" t="s">
        <v>1075</v>
      </c>
      <c r="D236" s="4">
        <v>150</v>
      </c>
      <c r="E236" s="3" t="s">
        <v>1076</v>
      </c>
      <c r="F236" s="3" t="s">
        <v>33</v>
      </c>
      <c r="G236" s="3" t="s">
        <v>1077</v>
      </c>
      <c r="H236" s="3" t="s">
        <v>202</v>
      </c>
      <c r="I236" s="3" t="s">
        <v>20</v>
      </c>
      <c r="J236" s="3" t="s">
        <v>67</v>
      </c>
      <c r="K236" s="3" t="s">
        <v>38</v>
      </c>
      <c r="L236" s="3" t="s">
        <v>38</v>
      </c>
      <c r="M236" s="3" t="s">
        <v>24</v>
      </c>
      <c r="N236" s="3" t="s">
        <v>25</v>
      </c>
      <c r="O236" t="str">
        <f>"2024-11-01"</f>
        <v>2024-11-01</v>
      </c>
      <c r="P236" t="str">
        <f>"2025-10-31"</f>
        <v>2025-10-31</v>
      </c>
    </row>
    <row r="237" spans="1:16" x14ac:dyDescent="0.2">
      <c r="A237" t="str" cm="1">
        <f t="array" ref="A237">_xlfn.LET(
    _xlpm.txt, B237,
    _xlpm.chars, MID(_xlpm.txt, _xlfn.SEQUENCE(LEN(_xlpm.txt)), 1),
    _xlpm.filtered, _xlfn._xlws.FILTER(_xlpm.chars, NOT(ISNUMBER(SEARCH(_xlpm.chars, "ABCDEFGHIJKLMNOPQRSTUVWXYZabcdefghijklmnopqrstuvwxyz")))),
    _xlfn.TEXTJOIN("",, _xlpm.filtered)
)</f>
        <v>000410</v>
      </c>
      <c r="B237" s="3" t="s">
        <v>1078</v>
      </c>
      <c r="C237" s="3" t="s">
        <v>1079</v>
      </c>
      <c r="D237" s="4">
        <v>350</v>
      </c>
      <c r="E237" s="3" t="s">
        <v>1080</v>
      </c>
      <c r="F237" s="3" t="s">
        <v>1080</v>
      </c>
      <c r="G237" s="3" t="s">
        <v>1081</v>
      </c>
      <c r="H237" s="3" t="s">
        <v>59</v>
      </c>
      <c r="I237" s="3" t="s">
        <v>20</v>
      </c>
      <c r="J237" s="3" t="s">
        <v>119</v>
      </c>
      <c r="K237" s="3" t="s">
        <v>78</v>
      </c>
      <c r="L237" s="3" t="s">
        <v>174</v>
      </c>
      <c r="M237" s="3" t="s">
        <v>87</v>
      </c>
      <c r="N237" s="3" t="s">
        <v>25</v>
      </c>
      <c r="O237" t="str">
        <f>"2025-02-01"</f>
        <v>2025-02-01</v>
      </c>
      <c r="P237" t="str">
        <f>"2026-01-31"</f>
        <v>2026-01-31</v>
      </c>
    </row>
    <row r="238" spans="1:16" x14ac:dyDescent="0.2">
      <c r="A238" t="str" cm="1">
        <f t="array" ref="A238">_xlfn.LET(
    _xlpm.txt, B238,
    _xlpm.chars, MID(_xlpm.txt, _xlfn.SEQUENCE(LEN(_xlpm.txt)), 1),
    _xlpm.filtered, _xlfn._xlws.FILTER(_xlpm.chars, NOT(ISNUMBER(SEARCH(_xlpm.chars, "ABCDEFGHIJKLMNOPQRSTUVWXYZabcdefghijklmnopqrstuvwxyz")))),
    _xlfn.TEXTJOIN("",, _xlpm.filtered)
)</f>
        <v>000411</v>
      </c>
      <c r="B238" s="3" t="s">
        <v>1082</v>
      </c>
      <c r="C238" s="3" t="s">
        <v>1083</v>
      </c>
      <c r="D238" s="4">
        <v>175</v>
      </c>
      <c r="E238" s="3" t="s">
        <v>1084</v>
      </c>
      <c r="F238" s="3" t="s">
        <v>1085</v>
      </c>
      <c r="G238" s="3" t="s">
        <v>1086</v>
      </c>
      <c r="H238" s="3" t="s">
        <v>84</v>
      </c>
      <c r="I238" s="3" t="s">
        <v>20</v>
      </c>
      <c r="J238" s="3" t="s">
        <v>73</v>
      </c>
      <c r="K238" s="3" t="s">
        <v>22</v>
      </c>
      <c r="L238" s="3" t="s">
        <v>23</v>
      </c>
      <c r="M238" s="3" t="s">
        <v>24</v>
      </c>
      <c r="N238" s="3" t="s">
        <v>25</v>
      </c>
      <c r="O238" t="str">
        <f>"2025-04-01"</f>
        <v>2025-04-01</v>
      </c>
      <c r="P238" t="str">
        <f>"2026-03-31"</f>
        <v>2026-03-31</v>
      </c>
    </row>
    <row r="239" spans="1:16" x14ac:dyDescent="0.2">
      <c r="A239" t="str" cm="1">
        <f t="array" ref="A239">_xlfn.LET(
    _xlpm.txt, B239,
    _xlpm.chars, MID(_xlpm.txt, _xlfn.SEQUENCE(LEN(_xlpm.txt)), 1),
    _xlpm.filtered, _xlfn._xlws.FILTER(_xlpm.chars, NOT(ISNUMBER(SEARCH(_xlpm.chars, "ABCDEFGHIJKLMNOPQRSTUVWXYZabcdefghijklmnopqrstuvwxyz")))),
    _xlfn.TEXTJOIN("",, _xlpm.filtered)
)</f>
        <v>000412</v>
      </c>
      <c r="B239" s="3" t="s">
        <v>1087</v>
      </c>
      <c r="C239" s="3" t="s">
        <v>1088</v>
      </c>
      <c r="D239" s="4">
        <v>450</v>
      </c>
      <c r="E239" s="3" t="s">
        <v>1089</v>
      </c>
      <c r="F239" s="3" t="s">
        <v>33</v>
      </c>
      <c r="G239" s="3" t="s">
        <v>1090</v>
      </c>
      <c r="H239" s="3" t="s">
        <v>354</v>
      </c>
      <c r="I239" s="3" t="s">
        <v>20</v>
      </c>
      <c r="J239" s="3" t="s">
        <v>73</v>
      </c>
      <c r="K239" s="3" t="s">
        <v>156</v>
      </c>
      <c r="L239" s="3" t="s">
        <v>272</v>
      </c>
      <c r="M239" s="3" t="s">
        <v>156</v>
      </c>
      <c r="N239" s="3" t="s">
        <v>25</v>
      </c>
      <c r="O239" t="str">
        <f>"2025-06-01"</f>
        <v>2025-06-01</v>
      </c>
      <c r="P239" t="str">
        <f>"2026-05-31"</f>
        <v>2026-05-31</v>
      </c>
    </row>
    <row r="240" spans="1:16" x14ac:dyDescent="0.2">
      <c r="A240" t="str" cm="1">
        <f t="array" ref="A240">_xlfn.LET(
    _xlpm.txt, B240,
    _xlpm.chars, MID(_xlpm.txt, _xlfn.SEQUENCE(LEN(_xlpm.txt)), 1),
    _xlpm.filtered, _xlfn._xlws.FILTER(_xlpm.chars, NOT(ISNUMBER(SEARCH(_xlpm.chars, "ABCDEFGHIJKLMNOPQRSTUVWXYZabcdefghijklmnopqrstuvwxyz")))),
    _xlfn.TEXTJOIN("",, _xlpm.filtered)
)</f>
        <v>000413</v>
      </c>
      <c r="B240" s="3" t="s">
        <v>1091</v>
      </c>
      <c r="C240" s="3" t="s">
        <v>128</v>
      </c>
      <c r="D240" s="4">
        <v>450</v>
      </c>
      <c r="E240" s="3" t="s">
        <v>210</v>
      </c>
      <c r="F240" s="3" t="s">
        <v>1092</v>
      </c>
      <c r="G240" s="3" t="s">
        <v>1093</v>
      </c>
      <c r="H240" s="3" t="s">
        <v>132</v>
      </c>
      <c r="I240" s="3" t="s">
        <v>20</v>
      </c>
      <c r="J240" s="3" t="s">
        <v>119</v>
      </c>
      <c r="K240" s="3" t="s">
        <v>37</v>
      </c>
      <c r="L240" s="3" t="s">
        <v>38</v>
      </c>
      <c r="M240" s="3" t="s">
        <v>87</v>
      </c>
      <c r="N240" s="3" t="s">
        <v>25</v>
      </c>
      <c r="O240" t="str">
        <f>"2025-03-01"</f>
        <v>2025-03-01</v>
      </c>
      <c r="P240" t="str">
        <f>"2026-02-28"</f>
        <v>2026-02-28</v>
      </c>
    </row>
    <row r="241" spans="1:16" x14ac:dyDescent="0.2">
      <c r="A241" t="str" cm="1">
        <f t="array" ref="A241">_xlfn.LET(
    _xlpm.txt, B241,
    _xlpm.chars, MID(_xlpm.txt, _xlfn.SEQUENCE(LEN(_xlpm.txt)), 1),
    _xlpm.filtered, _xlfn._xlws.FILTER(_xlpm.chars, NOT(ISNUMBER(SEARCH(_xlpm.chars, "ABCDEFGHIJKLMNOPQRSTUVWXYZabcdefghijklmnopqrstuvwxyz")))),
    _xlfn.TEXTJOIN("",, _xlpm.filtered)
)</f>
        <v>000414</v>
      </c>
      <c r="B241" s="3" t="s">
        <v>1094</v>
      </c>
      <c r="C241" s="3" t="s">
        <v>1095</v>
      </c>
      <c r="D241" s="4">
        <v>150</v>
      </c>
      <c r="E241" s="3" t="s">
        <v>1096</v>
      </c>
      <c r="F241" s="3" t="s">
        <v>33</v>
      </c>
      <c r="G241" s="3" t="s">
        <v>1097</v>
      </c>
      <c r="H241" s="3" t="s">
        <v>44</v>
      </c>
      <c r="I241" s="3" t="s">
        <v>20</v>
      </c>
      <c r="J241" s="3" t="s">
        <v>36</v>
      </c>
      <c r="K241" s="3" t="s">
        <v>33</v>
      </c>
      <c r="L241" s="3" t="s">
        <v>38</v>
      </c>
      <c r="M241" s="3" t="s">
        <v>33</v>
      </c>
      <c r="N241" s="3" t="s">
        <v>25</v>
      </c>
      <c r="O241" t="str">
        <f>"2025-03-01"</f>
        <v>2025-03-01</v>
      </c>
      <c r="P241" t="str">
        <f>"2026-02-28"</f>
        <v>2026-02-28</v>
      </c>
    </row>
    <row r="242" spans="1:16" x14ac:dyDescent="0.2">
      <c r="A242" t="str" cm="1">
        <f t="array" ref="A242">_xlfn.LET(
    _xlpm.txt, B242,
    _xlpm.chars, MID(_xlpm.txt, _xlfn.SEQUENCE(LEN(_xlpm.txt)), 1),
    _xlpm.filtered, _xlfn._xlws.FILTER(_xlpm.chars, NOT(ISNUMBER(SEARCH(_xlpm.chars, "ABCDEFGHIJKLMNOPQRSTUVWXYZabcdefghijklmnopqrstuvwxyz")))),
    _xlfn.TEXTJOIN("",, _xlpm.filtered)
)</f>
        <v>000415</v>
      </c>
      <c r="B242" s="3" t="s">
        <v>1098</v>
      </c>
      <c r="C242" s="3" t="s">
        <v>1099</v>
      </c>
      <c r="D242" s="4">
        <v>100</v>
      </c>
      <c r="E242" s="3" t="s">
        <v>1100</v>
      </c>
      <c r="F242" s="3" t="s">
        <v>33</v>
      </c>
      <c r="G242" s="3" t="s">
        <v>1101</v>
      </c>
      <c r="H242" s="3" t="s">
        <v>125</v>
      </c>
      <c r="I242" s="3" t="s">
        <v>20</v>
      </c>
      <c r="J242" s="3" t="s">
        <v>36</v>
      </c>
      <c r="K242" s="3" t="s">
        <v>37</v>
      </c>
      <c r="L242" s="3" t="s">
        <v>38</v>
      </c>
      <c r="M242" s="3" t="s">
        <v>39</v>
      </c>
      <c r="N242" s="3" t="s">
        <v>25</v>
      </c>
      <c r="O242" t="str">
        <f>"2025-02-01"</f>
        <v>2025-02-01</v>
      </c>
      <c r="P242" t="str">
        <f>"2026-01-31"</f>
        <v>2026-01-31</v>
      </c>
    </row>
    <row r="243" spans="1:16" x14ac:dyDescent="0.2">
      <c r="A243" t="str" cm="1">
        <f t="array" ref="A243">_xlfn.LET(
    _xlpm.txt, B243,
    _xlpm.chars, MID(_xlpm.txt, _xlfn.SEQUENCE(LEN(_xlpm.txt)), 1),
    _xlpm.filtered, _xlfn._xlws.FILTER(_xlpm.chars, NOT(ISNUMBER(SEARCH(_xlpm.chars, "ABCDEFGHIJKLMNOPQRSTUVWXYZabcdefghijklmnopqrstuvwxyz")))),
    _xlfn.TEXTJOIN("",, _xlpm.filtered)
)</f>
        <v>000416</v>
      </c>
      <c r="B243" s="3" t="s">
        <v>1102</v>
      </c>
      <c r="C243" s="3" t="s">
        <v>1103</v>
      </c>
      <c r="D243" s="4">
        <v>150</v>
      </c>
      <c r="E243" s="3" t="s">
        <v>1104</v>
      </c>
      <c r="F243" s="3" t="s">
        <v>1105</v>
      </c>
      <c r="G243" s="3" t="s">
        <v>1106</v>
      </c>
      <c r="H243" s="3" t="s">
        <v>19</v>
      </c>
      <c r="I243" s="3" t="s">
        <v>20</v>
      </c>
      <c r="J243" s="3" t="s">
        <v>85</v>
      </c>
      <c r="K243" s="3" t="s">
        <v>46</v>
      </c>
      <c r="L243" s="3" t="s">
        <v>23</v>
      </c>
      <c r="M243" s="3" t="s">
        <v>24</v>
      </c>
      <c r="N243" s="3" t="s">
        <v>25</v>
      </c>
      <c r="O243" t="str">
        <f>"2025-02-01"</f>
        <v>2025-02-01</v>
      </c>
      <c r="P243" t="str">
        <f>"2026-01-31"</f>
        <v>2026-01-31</v>
      </c>
    </row>
    <row r="244" spans="1:16" x14ac:dyDescent="0.2">
      <c r="A244" t="str" cm="1">
        <f t="array" ref="A244">_xlfn.LET(
    _xlpm.txt, B244,
    _xlpm.chars, MID(_xlpm.txt, _xlfn.SEQUENCE(LEN(_xlpm.txt)), 1),
    _xlpm.filtered, _xlfn._xlws.FILTER(_xlpm.chars, NOT(ISNUMBER(SEARCH(_xlpm.chars, "ABCDEFGHIJKLMNOPQRSTUVWXYZabcdefghijklmnopqrstuvwxyz")))),
    _xlfn.TEXTJOIN("",, _xlpm.filtered)
)</f>
        <v>000420</v>
      </c>
      <c r="B244" s="3" t="s">
        <v>1107</v>
      </c>
      <c r="C244" s="3" t="s">
        <v>1108</v>
      </c>
      <c r="D244" s="4">
        <v>180</v>
      </c>
      <c r="E244" s="3" t="s">
        <v>668</v>
      </c>
      <c r="F244" s="3" t="s">
        <v>1109</v>
      </c>
      <c r="G244" s="3" t="s">
        <v>1110</v>
      </c>
      <c r="H244" s="3" t="s">
        <v>308</v>
      </c>
      <c r="I244" s="3" t="s">
        <v>20</v>
      </c>
      <c r="J244" s="3" t="s">
        <v>36</v>
      </c>
      <c r="K244" s="3" t="s">
        <v>37</v>
      </c>
      <c r="L244" s="3" t="s">
        <v>38</v>
      </c>
      <c r="M244" s="3" t="s">
        <v>48</v>
      </c>
      <c r="N244" s="3" t="s">
        <v>25</v>
      </c>
      <c r="O244" t="str">
        <f>"2025-10-01"</f>
        <v>2025-10-01</v>
      </c>
      <c r="P244" t="str">
        <f>"2026-09-30"</f>
        <v>2026-09-30</v>
      </c>
    </row>
    <row r="245" spans="1:16" x14ac:dyDescent="0.2">
      <c r="A245" t="str" cm="1">
        <f t="array" ref="A245">_xlfn.LET(
    _xlpm.txt, B245,
    _xlpm.chars, MID(_xlpm.txt, _xlfn.SEQUENCE(LEN(_xlpm.txt)), 1),
    _xlpm.filtered, _xlfn._xlws.FILTER(_xlpm.chars, NOT(ISNUMBER(SEARCH(_xlpm.chars, "ABCDEFGHIJKLMNOPQRSTUVWXYZabcdefghijklmnopqrstuvwxyz")))),
    _xlfn.TEXTJOIN("",, _xlpm.filtered)
)</f>
        <v>000421</v>
      </c>
      <c r="B245" s="3" t="s">
        <v>1111</v>
      </c>
      <c r="C245" s="3" t="s">
        <v>1108</v>
      </c>
      <c r="D245" s="4">
        <v>180</v>
      </c>
      <c r="E245" s="3" t="s">
        <v>668</v>
      </c>
      <c r="F245" s="3" t="s">
        <v>1112</v>
      </c>
      <c r="G245" s="3" t="s">
        <v>1113</v>
      </c>
      <c r="H245" s="3" t="s">
        <v>308</v>
      </c>
      <c r="I245" s="3" t="s">
        <v>20</v>
      </c>
      <c r="J245" s="3" t="s">
        <v>36</v>
      </c>
      <c r="K245" s="3" t="s">
        <v>37</v>
      </c>
      <c r="L245" s="3" t="s">
        <v>38</v>
      </c>
      <c r="M245" s="3" t="s">
        <v>48</v>
      </c>
      <c r="N245" s="3" t="s">
        <v>25</v>
      </c>
      <c r="O245" t="str">
        <f>"2025-10-01"</f>
        <v>2025-10-01</v>
      </c>
      <c r="P245" t="str">
        <f>"2026-09-30"</f>
        <v>2026-09-30</v>
      </c>
    </row>
    <row r="246" spans="1:16" x14ac:dyDescent="0.2">
      <c r="A246" t="str" cm="1">
        <f t="array" ref="A246">_xlfn.LET(
    _xlpm.txt, B246,
    _xlpm.chars, MID(_xlpm.txt, _xlfn.SEQUENCE(LEN(_xlpm.txt)), 1),
    _xlpm.filtered, _xlfn._xlws.FILTER(_xlpm.chars, NOT(ISNUMBER(SEARCH(_xlpm.chars, "ABCDEFGHIJKLMNOPQRSTUVWXYZabcdefghijklmnopqrstuvwxyz")))),
    _xlfn.TEXTJOIN("",, _xlpm.filtered)
)</f>
        <v>000422</v>
      </c>
      <c r="B246" s="3" t="s">
        <v>1114</v>
      </c>
      <c r="C246" s="3" t="s">
        <v>1115</v>
      </c>
      <c r="D246" s="4">
        <v>130</v>
      </c>
      <c r="E246" s="3" t="s">
        <v>122</v>
      </c>
      <c r="F246" s="3" t="s">
        <v>33</v>
      </c>
      <c r="G246" s="3" t="s">
        <v>1116</v>
      </c>
      <c r="H246" s="3" t="s">
        <v>936</v>
      </c>
      <c r="I246" s="3" t="s">
        <v>20</v>
      </c>
      <c r="J246" s="3" t="s">
        <v>67</v>
      </c>
      <c r="K246" s="3" t="s">
        <v>37</v>
      </c>
      <c r="L246" s="3" t="s">
        <v>174</v>
      </c>
      <c r="M246" s="3" t="s">
        <v>24</v>
      </c>
      <c r="N246" s="3" t="s">
        <v>273</v>
      </c>
      <c r="O246" t="str">
        <f>"2025-09-15"</f>
        <v>2025-09-15</v>
      </c>
      <c r="P246" t="str">
        <f>"2026-09-14"</f>
        <v>2026-09-14</v>
      </c>
    </row>
    <row r="247" spans="1:16" x14ac:dyDescent="0.2">
      <c r="A247" t="str" cm="1">
        <f t="array" ref="A247">_xlfn.LET(
    _xlpm.txt, B247,
    _xlpm.chars, MID(_xlpm.txt, _xlfn.SEQUENCE(LEN(_xlpm.txt)), 1),
    _xlpm.filtered, _xlfn._xlws.FILTER(_xlpm.chars, NOT(ISNUMBER(SEARCH(_xlpm.chars, "ABCDEFGHIJKLMNOPQRSTUVWXYZabcdefghijklmnopqrstuvwxyz")))),
    _xlfn.TEXTJOIN("",, _xlpm.filtered)
)</f>
        <v>000423</v>
      </c>
      <c r="B247" s="3" t="s">
        <v>1117</v>
      </c>
      <c r="C247" s="3" t="s">
        <v>1118</v>
      </c>
      <c r="D247" s="4">
        <v>1440</v>
      </c>
      <c r="E247" s="3" t="s">
        <v>1119</v>
      </c>
      <c r="F247" s="3" t="s">
        <v>1120</v>
      </c>
      <c r="G247" s="3" t="s">
        <v>1121</v>
      </c>
      <c r="H247" s="3" t="s">
        <v>1122</v>
      </c>
      <c r="I247" s="3" t="s">
        <v>20</v>
      </c>
      <c r="J247" s="3" t="s">
        <v>119</v>
      </c>
      <c r="K247" s="3" t="s">
        <v>22</v>
      </c>
      <c r="L247" s="3" t="s">
        <v>38</v>
      </c>
      <c r="M247" s="3" t="s">
        <v>1123</v>
      </c>
      <c r="N247" s="3" t="s">
        <v>25</v>
      </c>
      <c r="O247" t="str">
        <f>"2024-10-15"</f>
        <v>2024-10-15</v>
      </c>
      <c r="P247" t="str">
        <f>"2025-10-14"</f>
        <v>2025-10-14</v>
      </c>
    </row>
    <row r="248" spans="1:16" x14ac:dyDescent="0.2">
      <c r="A248" t="str" cm="1">
        <f t="array" ref="A248">_xlfn.LET(
    _xlpm.txt, B248,
    _xlpm.chars, MID(_xlpm.txt, _xlfn.SEQUENCE(LEN(_xlpm.txt)), 1),
    _xlpm.filtered, _xlfn._xlws.FILTER(_xlpm.chars, NOT(ISNUMBER(SEARCH(_xlpm.chars, "ABCDEFGHIJKLMNOPQRSTUVWXYZabcdefghijklmnopqrstuvwxyz")))),
    _xlfn.TEXTJOIN("",, _xlpm.filtered)
)</f>
        <v>000425</v>
      </c>
      <c r="B248" s="3" t="s">
        <v>1124</v>
      </c>
      <c r="C248" s="3" t="s">
        <v>1125</v>
      </c>
      <c r="D248" s="4">
        <v>1350</v>
      </c>
      <c r="E248" s="3" t="s">
        <v>1126</v>
      </c>
      <c r="F248" s="3" t="s">
        <v>33</v>
      </c>
      <c r="G248" s="3" t="s">
        <v>1127</v>
      </c>
      <c r="H248" s="3" t="s">
        <v>1128</v>
      </c>
      <c r="I248" s="3" t="s">
        <v>33</v>
      </c>
      <c r="J248" s="3" t="s">
        <v>511</v>
      </c>
      <c r="K248" s="3" t="s">
        <v>33</v>
      </c>
      <c r="L248" s="3" t="s">
        <v>33</v>
      </c>
      <c r="M248" s="3" t="s">
        <v>33</v>
      </c>
      <c r="N248" s="3" t="s">
        <v>33</v>
      </c>
      <c r="O248" t="str">
        <f>"2024-09-01"</f>
        <v>2024-09-01</v>
      </c>
      <c r="P248" t="str">
        <f>"2027-08-31"</f>
        <v>2027-08-31</v>
      </c>
    </row>
    <row r="249" spans="1:16" x14ac:dyDescent="0.2">
      <c r="A249" t="str" cm="1">
        <f t="array" ref="A249">_xlfn.LET(
    _xlpm.txt, B249,
    _xlpm.chars, MID(_xlpm.txt, _xlfn.SEQUENCE(LEN(_xlpm.txt)), 1),
    _xlpm.filtered, _xlfn._xlws.FILTER(_xlpm.chars, NOT(ISNUMBER(SEARCH(_xlpm.chars, "ABCDEFGHIJKLMNOPQRSTUVWXYZabcdefghijklmnopqrstuvwxyz")))),
    _xlfn.TEXTJOIN("",, _xlpm.filtered)
)</f>
        <v>000426</v>
      </c>
      <c r="B249" s="3" t="s">
        <v>1130</v>
      </c>
      <c r="C249" s="3" t="s">
        <v>1028</v>
      </c>
      <c r="D249" s="4">
        <v>150</v>
      </c>
      <c r="E249" s="3" t="s">
        <v>1029</v>
      </c>
      <c r="F249" s="3" t="s">
        <v>33</v>
      </c>
      <c r="G249" s="3" t="s">
        <v>1131</v>
      </c>
      <c r="H249" s="3" t="s">
        <v>202</v>
      </c>
      <c r="I249" s="3" t="s">
        <v>20</v>
      </c>
      <c r="J249" s="3" t="s">
        <v>67</v>
      </c>
      <c r="K249" s="3" t="s">
        <v>37</v>
      </c>
      <c r="L249" s="3" t="s">
        <v>23</v>
      </c>
      <c r="M249" s="3" t="s">
        <v>48</v>
      </c>
      <c r="N249" s="3" t="s">
        <v>25</v>
      </c>
      <c r="O249" t="str">
        <f>"2024-11-01"</f>
        <v>2024-11-01</v>
      </c>
      <c r="P249" t="str">
        <f>"2025-10-31"</f>
        <v>2025-10-31</v>
      </c>
    </row>
    <row r="250" spans="1:16" x14ac:dyDescent="0.2">
      <c r="A250" t="str" cm="1">
        <f t="array" ref="A250">_xlfn.LET(
    _xlpm.txt, B250,
    _xlpm.chars, MID(_xlpm.txt, _xlfn.SEQUENCE(LEN(_xlpm.txt)), 1),
    _xlpm.filtered, _xlfn._xlws.FILTER(_xlpm.chars, NOT(ISNUMBER(SEARCH(_xlpm.chars, "ABCDEFGHIJKLMNOPQRSTUVWXYZabcdefghijklmnopqrstuvwxyz")))),
    _xlfn.TEXTJOIN("",, _xlpm.filtered)
)</f>
        <v>000430</v>
      </c>
      <c r="B250" s="3" t="s">
        <v>1132</v>
      </c>
      <c r="C250" s="3" t="s">
        <v>1133</v>
      </c>
      <c r="D250" s="4">
        <v>130</v>
      </c>
      <c r="E250" s="3" t="s">
        <v>1134</v>
      </c>
      <c r="F250" s="3" t="s">
        <v>33</v>
      </c>
      <c r="G250" s="3" t="s">
        <v>1135</v>
      </c>
      <c r="H250" s="3" t="s">
        <v>941</v>
      </c>
      <c r="I250" s="3" t="s">
        <v>33</v>
      </c>
      <c r="J250" s="3" t="s">
        <v>67</v>
      </c>
      <c r="K250" s="3" t="s">
        <v>22</v>
      </c>
      <c r="L250" s="3" t="s">
        <v>174</v>
      </c>
      <c r="M250" s="3" t="s">
        <v>24</v>
      </c>
      <c r="N250" s="3" t="s">
        <v>25</v>
      </c>
      <c r="O250" t="str">
        <f>"2024-12-01"</f>
        <v>2024-12-01</v>
      </c>
      <c r="P250" t="str">
        <f>"2025-11-30"</f>
        <v>2025-11-30</v>
      </c>
    </row>
    <row r="251" spans="1:16" x14ac:dyDescent="0.2">
      <c r="A251" t="str" cm="1">
        <f t="array" ref="A251">_xlfn.LET(
    _xlpm.txt, B251,
    _xlpm.chars, MID(_xlpm.txt, _xlfn.SEQUENCE(LEN(_xlpm.txt)), 1),
    _xlpm.filtered, _xlfn._xlws.FILTER(_xlpm.chars, NOT(ISNUMBER(SEARCH(_xlpm.chars, "ABCDEFGHIJKLMNOPQRSTUVWXYZabcdefghijklmnopqrstuvwxyz")))),
    _xlfn.TEXTJOIN("",, _xlpm.filtered)
)</f>
        <v>000431</v>
      </c>
      <c r="B251" s="3" t="s">
        <v>1136</v>
      </c>
      <c r="C251" s="3" t="s">
        <v>1137</v>
      </c>
      <c r="D251" s="4">
        <v>500</v>
      </c>
      <c r="E251" s="3" t="s">
        <v>1138</v>
      </c>
      <c r="F251" s="3" t="s">
        <v>33</v>
      </c>
      <c r="G251" s="3" t="s">
        <v>1139</v>
      </c>
      <c r="H251" s="3" t="s">
        <v>279</v>
      </c>
      <c r="I251" s="3" t="s">
        <v>33</v>
      </c>
      <c r="J251" s="3" t="s">
        <v>511</v>
      </c>
      <c r="K251" s="3" t="s">
        <v>22</v>
      </c>
      <c r="L251" s="3" t="s">
        <v>38</v>
      </c>
      <c r="M251" s="3" t="s">
        <v>48</v>
      </c>
      <c r="N251" s="3" t="s">
        <v>273</v>
      </c>
      <c r="O251" t="str">
        <f>"2025-01-03"</f>
        <v>2025-01-03</v>
      </c>
      <c r="P251" t="str">
        <f>"2026-01-02"</f>
        <v>2026-01-02</v>
      </c>
    </row>
    <row r="252" spans="1:16" x14ac:dyDescent="0.2">
      <c r="A252" t="str" cm="1">
        <f t="array" ref="A252">_xlfn.LET(
    _xlpm.txt, B252,
    _xlpm.chars, MID(_xlpm.txt, _xlfn.SEQUENCE(LEN(_xlpm.txt)), 1),
    _xlpm.filtered, _xlfn._xlws.FILTER(_xlpm.chars, NOT(ISNUMBER(SEARCH(_xlpm.chars, "ABCDEFGHIJKLMNOPQRSTUVWXYZabcdefghijklmnopqrstuvwxyz")))),
    _xlfn.TEXTJOIN("",, _xlpm.filtered)
)</f>
        <v>000432</v>
      </c>
      <c r="B252" s="3" t="s">
        <v>1141</v>
      </c>
      <c r="C252" s="3" t="s">
        <v>1142</v>
      </c>
      <c r="D252" s="4">
        <v>250</v>
      </c>
      <c r="E252" s="3" t="s">
        <v>1143</v>
      </c>
      <c r="F252" s="3" t="s">
        <v>1144</v>
      </c>
      <c r="G252" s="3" t="s">
        <v>1145</v>
      </c>
      <c r="H252" s="3" t="s">
        <v>19</v>
      </c>
      <c r="I252" s="3" t="s">
        <v>20</v>
      </c>
      <c r="J252" s="3" t="s">
        <v>85</v>
      </c>
      <c r="K252" s="3" t="s">
        <v>46</v>
      </c>
      <c r="L252" s="3" t="s">
        <v>38</v>
      </c>
      <c r="M252" s="3" t="s">
        <v>33</v>
      </c>
      <c r="N252" s="3" t="s">
        <v>25</v>
      </c>
      <c r="O252" t="str">
        <f>"2025-01-01"</f>
        <v>2025-01-01</v>
      </c>
      <c r="P252" t="str">
        <f>"2025-12-31"</f>
        <v>2025-12-31</v>
      </c>
    </row>
    <row r="253" spans="1:16" x14ac:dyDescent="0.2">
      <c r="A253" t="str" cm="1">
        <f t="array" ref="A253">_xlfn.LET(
    _xlpm.txt, B253,
    _xlpm.chars, MID(_xlpm.txt, _xlfn.SEQUENCE(LEN(_xlpm.txt)), 1),
    _xlpm.filtered, _xlfn._xlws.FILTER(_xlpm.chars, NOT(ISNUMBER(SEARCH(_xlpm.chars, "ABCDEFGHIJKLMNOPQRSTUVWXYZabcdefghijklmnopqrstuvwxyz")))),
    _xlfn.TEXTJOIN("",, _xlpm.filtered)
)</f>
        <v>000433</v>
      </c>
      <c r="B253" s="3" t="s">
        <v>1146</v>
      </c>
      <c r="C253" s="3" t="s">
        <v>115</v>
      </c>
      <c r="D253" s="4">
        <v>120</v>
      </c>
      <c r="E253" s="3" t="s">
        <v>943</v>
      </c>
      <c r="F253" s="3" t="s">
        <v>33</v>
      </c>
      <c r="G253" s="3" t="s">
        <v>1147</v>
      </c>
      <c r="H253" s="3" t="s">
        <v>945</v>
      </c>
      <c r="I253" s="3" t="s">
        <v>20</v>
      </c>
      <c r="J253" s="3" t="s">
        <v>67</v>
      </c>
      <c r="K253" s="3" t="s">
        <v>33</v>
      </c>
      <c r="L253" s="3" t="s">
        <v>174</v>
      </c>
      <c r="M253" s="3" t="s">
        <v>297</v>
      </c>
      <c r="N253" s="3" t="s">
        <v>25</v>
      </c>
      <c r="O253" t="str">
        <f>"2025-03-01"</f>
        <v>2025-03-01</v>
      </c>
      <c r="P253" t="str">
        <f>"2026-02-28"</f>
        <v>2026-02-28</v>
      </c>
    </row>
    <row r="254" spans="1:16" x14ac:dyDescent="0.2">
      <c r="A254" t="str" cm="1">
        <f t="array" ref="A254">_xlfn.LET(
    _xlpm.txt, B254,
    _xlpm.chars, MID(_xlpm.txt, _xlfn.SEQUENCE(LEN(_xlpm.txt)), 1),
    _xlpm.filtered, _xlfn._xlws.FILTER(_xlpm.chars, NOT(ISNUMBER(SEARCH(_xlpm.chars, "ABCDEFGHIJKLMNOPQRSTUVWXYZabcdefghijklmnopqrstuvwxyz")))),
    _xlfn.TEXTJOIN("",, _xlpm.filtered)
)</f>
        <v>000434</v>
      </c>
      <c r="B254" s="3" t="s">
        <v>1148</v>
      </c>
      <c r="C254" s="3" t="s">
        <v>766</v>
      </c>
      <c r="D254" s="4">
        <v>450</v>
      </c>
      <c r="E254" s="3" t="s">
        <v>767</v>
      </c>
      <c r="F254" s="3" t="s">
        <v>1149</v>
      </c>
      <c r="G254" s="3" t="s">
        <v>1150</v>
      </c>
      <c r="H254" s="3" t="s">
        <v>270</v>
      </c>
      <c r="I254" s="3" t="s">
        <v>20</v>
      </c>
      <c r="J254" s="3" t="s">
        <v>511</v>
      </c>
      <c r="K254" s="3" t="s">
        <v>551</v>
      </c>
      <c r="L254" s="3" t="s">
        <v>512</v>
      </c>
      <c r="M254" s="3" t="s">
        <v>513</v>
      </c>
      <c r="N254" s="3" t="s">
        <v>33</v>
      </c>
      <c r="O254" t="str">
        <f>"2025-01-10"</f>
        <v>2025-01-10</v>
      </c>
      <c r="P254" t="str">
        <f>"2026-01-09"</f>
        <v>2026-01-09</v>
      </c>
    </row>
    <row r="255" spans="1:16" x14ac:dyDescent="0.2">
      <c r="A255" t="str" cm="1">
        <f t="array" ref="A255">_xlfn.LET(
    _xlpm.txt, B255,
    _xlpm.chars, MID(_xlpm.txt, _xlfn.SEQUENCE(LEN(_xlpm.txt)), 1),
    _xlpm.filtered, _xlfn._xlws.FILTER(_xlpm.chars, NOT(ISNUMBER(SEARCH(_xlpm.chars, "ABCDEFGHIJKLMNOPQRSTUVWXYZabcdefghijklmnopqrstuvwxyz")))),
    _xlfn.TEXTJOIN("",, _xlpm.filtered)
)</f>
        <v>000435</v>
      </c>
      <c r="B255" s="3" t="s">
        <v>1151</v>
      </c>
      <c r="C255" s="3" t="s">
        <v>1152</v>
      </c>
      <c r="D255" s="4">
        <v>570</v>
      </c>
      <c r="E255" s="3" t="s">
        <v>767</v>
      </c>
      <c r="F255" s="3" t="s">
        <v>1153</v>
      </c>
      <c r="G255" s="3" t="s">
        <v>1154</v>
      </c>
      <c r="H255" s="3" t="s">
        <v>824</v>
      </c>
      <c r="I255" s="3" t="s">
        <v>20</v>
      </c>
      <c r="J255" s="3" t="s">
        <v>33</v>
      </c>
      <c r="K255" s="3" t="s">
        <v>156</v>
      </c>
      <c r="L255" s="3" t="s">
        <v>156</v>
      </c>
      <c r="M255" s="3" t="s">
        <v>156</v>
      </c>
      <c r="N255" s="3" t="s">
        <v>25</v>
      </c>
      <c r="O255" t="str">
        <f>"2025-01-01"</f>
        <v>2025-01-01</v>
      </c>
      <c r="P255" t="str">
        <f>"2026-12-31"</f>
        <v>2026-12-31</v>
      </c>
    </row>
    <row r="256" spans="1:16" x14ac:dyDescent="0.2">
      <c r="A256" t="str" cm="1">
        <f t="array" ref="A256">_xlfn.LET(
    _xlpm.txt, B256,
    _xlpm.chars, MID(_xlpm.txt, _xlfn.SEQUENCE(LEN(_xlpm.txt)), 1),
    _xlpm.filtered, _xlfn._xlws.FILTER(_xlpm.chars, NOT(ISNUMBER(SEARCH(_xlpm.chars, "ABCDEFGHIJKLMNOPQRSTUVWXYZabcdefghijklmnopqrstuvwxyz")))),
    _xlfn.TEXTJOIN("",, _xlpm.filtered)
)</f>
        <v>000439</v>
      </c>
      <c r="B256" s="3" t="s">
        <v>1155</v>
      </c>
      <c r="C256" s="3" t="s">
        <v>1156</v>
      </c>
      <c r="D256" s="4">
        <v>360</v>
      </c>
      <c r="E256" s="3" t="s">
        <v>1157</v>
      </c>
      <c r="F256" s="3" t="s">
        <v>33</v>
      </c>
      <c r="G256" s="3" t="s">
        <v>1158</v>
      </c>
      <c r="H256" s="3" t="s">
        <v>1122</v>
      </c>
      <c r="I256" s="3" t="s">
        <v>33</v>
      </c>
      <c r="J256" s="3" t="s">
        <v>73</v>
      </c>
      <c r="K256" s="3" t="s">
        <v>37</v>
      </c>
      <c r="L256" s="3" t="s">
        <v>23</v>
      </c>
      <c r="M256" s="3" t="s">
        <v>62</v>
      </c>
      <c r="N256" s="3" t="s">
        <v>25</v>
      </c>
      <c r="O256" t="str">
        <f>"2025-03-01"</f>
        <v>2025-03-01</v>
      </c>
      <c r="P256" t="str">
        <f>"2026-02-28"</f>
        <v>2026-02-28</v>
      </c>
    </row>
    <row r="257" spans="1:16" x14ac:dyDescent="0.2">
      <c r="A257" t="str" cm="1">
        <f t="array" ref="A257">_xlfn.LET(
    _xlpm.txt, B257,
    _xlpm.chars, MID(_xlpm.txt, _xlfn.SEQUENCE(LEN(_xlpm.txt)), 1),
    _xlpm.filtered, _xlfn._xlws.FILTER(_xlpm.chars, NOT(ISNUMBER(SEARCH(_xlpm.chars, "ABCDEFGHIJKLMNOPQRSTUVWXYZabcdefghijklmnopqrstuvwxyz")))),
    _xlfn.TEXTJOIN("",, _xlpm.filtered)
)</f>
        <v>000440</v>
      </c>
      <c r="B257" s="3" t="s">
        <v>1159</v>
      </c>
      <c r="C257" s="3" t="s">
        <v>899</v>
      </c>
      <c r="D257" s="4">
        <v>680</v>
      </c>
      <c r="E257" s="3" t="s">
        <v>188</v>
      </c>
      <c r="F257" s="3" t="s">
        <v>1160</v>
      </c>
      <c r="G257" s="3" t="s">
        <v>1161</v>
      </c>
      <c r="H257" s="3" t="s">
        <v>84</v>
      </c>
      <c r="I257" s="3" t="s">
        <v>20</v>
      </c>
      <c r="J257" s="3" t="s">
        <v>119</v>
      </c>
      <c r="K257" s="3" t="s">
        <v>378</v>
      </c>
      <c r="L257" s="3" t="s">
        <v>378</v>
      </c>
      <c r="M257" s="3" t="s">
        <v>378</v>
      </c>
      <c r="N257" s="3" t="s">
        <v>25</v>
      </c>
      <c r="O257" t="str">
        <f>"2025-01-01"</f>
        <v>2025-01-01</v>
      </c>
      <c r="P257" t="str">
        <f>"2026-12-31"</f>
        <v>2026-12-31</v>
      </c>
    </row>
    <row r="258" spans="1:16" x14ac:dyDescent="0.2">
      <c r="A258" t="str" cm="1">
        <f t="array" ref="A258">_xlfn.LET(
    _xlpm.txt, B258,
    _xlpm.chars, MID(_xlpm.txt, _xlfn.SEQUENCE(LEN(_xlpm.txt)), 1),
    _xlpm.filtered, _xlfn._xlws.FILTER(_xlpm.chars, NOT(ISNUMBER(SEARCH(_xlpm.chars, "ABCDEFGHIJKLMNOPQRSTUVWXYZabcdefghijklmnopqrstuvwxyz")))),
    _xlfn.TEXTJOIN("",, _xlpm.filtered)
)</f>
        <v>000441</v>
      </c>
      <c r="B258" s="3" t="s">
        <v>1162</v>
      </c>
      <c r="C258" s="3" t="s">
        <v>1163</v>
      </c>
      <c r="D258" s="4">
        <v>140</v>
      </c>
      <c r="E258" s="3" t="s">
        <v>1164</v>
      </c>
      <c r="F258" s="3" t="s">
        <v>1165</v>
      </c>
      <c r="G258" s="3" t="s">
        <v>1166</v>
      </c>
      <c r="H258" s="3" t="s">
        <v>19</v>
      </c>
      <c r="I258" s="3" t="s">
        <v>20</v>
      </c>
      <c r="J258" s="3" t="s">
        <v>67</v>
      </c>
      <c r="K258" s="3" t="s">
        <v>37</v>
      </c>
      <c r="L258" s="3" t="s">
        <v>38</v>
      </c>
      <c r="M258" s="3" t="s">
        <v>62</v>
      </c>
      <c r="N258" s="3" t="s">
        <v>25</v>
      </c>
      <c r="O258" t="str">
        <f>"2025-03-01"</f>
        <v>2025-03-01</v>
      </c>
      <c r="P258" t="str">
        <f>"2026-02-28"</f>
        <v>2026-02-28</v>
      </c>
    </row>
    <row r="259" spans="1:16" x14ac:dyDescent="0.2">
      <c r="A259" t="str" cm="1">
        <f t="array" ref="A259">_xlfn.LET(
    _xlpm.txt, B259,
    _xlpm.chars, MID(_xlpm.txt, _xlfn.SEQUENCE(LEN(_xlpm.txt)), 1),
    _xlpm.filtered, _xlfn._xlws.FILTER(_xlpm.chars, NOT(ISNUMBER(SEARCH(_xlpm.chars, "ABCDEFGHIJKLMNOPQRSTUVWXYZabcdefghijklmnopqrstuvwxyz")))),
    _xlfn.TEXTJOIN("",, _xlpm.filtered)
)</f>
        <v>000442</v>
      </c>
      <c r="B259" s="3" t="s">
        <v>1167</v>
      </c>
      <c r="C259" s="3" t="s">
        <v>1168</v>
      </c>
      <c r="D259" s="4">
        <v>450</v>
      </c>
      <c r="E259" s="3" t="s">
        <v>268</v>
      </c>
      <c r="F259" s="3" t="s">
        <v>33</v>
      </c>
      <c r="G259" s="3" t="s">
        <v>1169</v>
      </c>
      <c r="H259" s="3" t="s">
        <v>418</v>
      </c>
      <c r="I259" s="3" t="s">
        <v>20</v>
      </c>
      <c r="J259" s="3" t="s">
        <v>511</v>
      </c>
      <c r="K259" s="3" t="s">
        <v>37</v>
      </c>
      <c r="L259" s="3" t="s">
        <v>38</v>
      </c>
      <c r="M259" s="3" t="s">
        <v>1170</v>
      </c>
      <c r="N259" s="3" t="s">
        <v>25</v>
      </c>
      <c r="O259" t="str">
        <f>"2025-03-01"</f>
        <v>2025-03-01</v>
      </c>
      <c r="P259" t="str">
        <f>"2026-02-28"</f>
        <v>2026-02-28</v>
      </c>
    </row>
    <row r="260" spans="1:16" x14ac:dyDescent="0.2">
      <c r="A260" t="str" cm="1">
        <f t="array" ref="A260">_xlfn.LET(
    _xlpm.txt, B260,
    _xlpm.chars, MID(_xlpm.txt, _xlfn.SEQUENCE(LEN(_xlpm.txt)), 1),
    _xlpm.filtered, _xlfn._xlws.FILTER(_xlpm.chars, NOT(ISNUMBER(SEARCH(_xlpm.chars, "ABCDEFGHIJKLMNOPQRSTUVWXYZabcdefghijklmnopqrstuvwxyz")))),
    _xlfn.TEXTJOIN("",, _xlpm.filtered)
)</f>
        <v>000443</v>
      </c>
      <c r="B260" s="3" t="s">
        <v>1171</v>
      </c>
      <c r="C260" s="3" t="s">
        <v>415</v>
      </c>
      <c r="D260" s="4">
        <v>450</v>
      </c>
      <c r="E260" s="3" t="s">
        <v>416</v>
      </c>
      <c r="F260" s="3" t="s">
        <v>33</v>
      </c>
      <c r="G260" s="3" t="s">
        <v>1169</v>
      </c>
      <c r="H260" s="3" t="s">
        <v>418</v>
      </c>
      <c r="I260" s="3" t="s">
        <v>20</v>
      </c>
      <c r="J260" s="3" t="s">
        <v>511</v>
      </c>
      <c r="K260" s="3" t="s">
        <v>37</v>
      </c>
      <c r="L260" s="3" t="s">
        <v>38</v>
      </c>
      <c r="M260" s="3" t="s">
        <v>1170</v>
      </c>
      <c r="N260" s="3" t="s">
        <v>25</v>
      </c>
      <c r="O260" t="str">
        <f>"2025-03-01"</f>
        <v>2025-03-01</v>
      </c>
      <c r="P260" t="str">
        <f>"2026-02-28"</f>
        <v>2026-02-28</v>
      </c>
    </row>
    <row r="261" spans="1:16" x14ac:dyDescent="0.2">
      <c r="A261" t="str" cm="1">
        <f t="array" ref="A261">_xlfn.LET(
    _xlpm.txt, B261,
    _xlpm.chars, MID(_xlpm.txt, _xlfn.SEQUENCE(LEN(_xlpm.txt)), 1),
    _xlpm.filtered, _xlfn._xlws.FILTER(_xlpm.chars, NOT(ISNUMBER(SEARCH(_xlpm.chars, "ABCDEFGHIJKLMNOPQRSTUVWXYZabcdefghijklmnopqrstuvwxyz")))),
    _xlfn.TEXTJOIN("",, _xlpm.filtered)
)</f>
        <v>000444</v>
      </c>
      <c r="B261" s="3" t="s">
        <v>1172</v>
      </c>
      <c r="C261" s="3" t="s">
        <v>1173</v>
      </c>
      <c r="D261" s="4">
        <v>150</v>
      </c>
      <c r="E261" s="3" t="s">
        <v>434</v>
      </c>
      <c r="F261" s="3" t="s">
        <v>1174</v>
      </c>
      <c r="G261" s="3" t="s">
        <v>1175</v>
      </c>
      <c r="H261" s="3" t="s">
        <v>657</v>
      </c>
      <c r="I261" s="3" t="s">
        <v>20</v>
      </c>
      <c r="J261" s="3" t="s">
        <v>36</v>
      </c>
      <c r="K261" s="3" t="s">
        <v>37</v>
      </c>
      <c r="L261" s="3" t="s">
        <v>38</v>
      </c>
      <c r="M261" s="3" t="s">
        <v>48</v>
      </c>
      <c r="N261" s="3" t="s">
        <v>25</v>
      </c>
      <c r="O261" t="str">
        <f>"2025-03-01"</f>
        <v>2025-03-01</v>
      </c>
      <c r="P261" t="str">
        <f>"2026-02-28"</f>
        <v>2026-02-28</v>
      </c>
    </row>
    <row r="262" spans="1:16" x14ac:dyDescent="0.2">
      <c r="A262" t="str" cm="1">
        <f t="array" ref="A262">_xlfn.LET(
    _xlpm.txt, B262,
    _xlpm.chars, MID(_xlpm.txt, _xlfn.SEQUENCE(LEN(_xlpm.txt)), 1),
    _xlpm.filtered, _xlfn._xlws.FILTER(_xlpm.chars, NOT(ISNUMBER(SEARCH(_xlpm.chars, "ABCDEFGHIJKLMNOPQRSTUVWXYZabcdefghijklmnopqrstuvwxyz")))),
    _xlfn.TEXTJOIN("",, _xlpm.filtered)
)</f>
        <v>000445</v>
      </c>
      <c r="B262" s="3" t="s">
        <v>1176</v>
      </c>
      <c r="C262" s="3" t="s">
        <v>1177</v>
      </c>
      <c r="D262" s="4">
        <v>360</v>
      </c>
      <c r="E262" s="3" t="s">
        <v>1157</v>
      </c>
      <c r="F262" s="3" t="s">
        <v>1178</v>
      </c>
      <c r="G262" s="3" t="s">
        <v>1179</v>
      </c>
      <c r="H262" s="3" t="s">
        <v>84</v>
      </c>
      <c r="I262" s="3" t="s">
        <v>20</v>
      </c>
      <c r="J262" s="3" t="s">
        <v>214</v>
      </c>
      <c r="K262" s="3" t="s">
        <v>22</v>
      </c>
      <c r="L262" s="3" t="s">
        <v>23</v>
      </c>
      <c r="M262" s="3" t="s">
        <v>24</v>
      </c>
      <c r="N262" s="3" t="s">
        <v>25</v>
      </c>
      <c r="O262" t="str">
        <f>"2025-03-01"</f>
        <v>2025-03-01</v>
      </c>
      <c r="P262" t="str">
        <f>"2026-02-28"</f>
        <v>2026-02-28</v>
      </c>
    </row>
    <row r="263" spans="1:16" x14ac:dyDescent="0.2">
      <c r="A263" t="str" cm="1">
        <f t="array" ref="A263">_xlfn.LET(
    _xlpm.txt, B263,
    _xlpm.chars, MID(_xlpm.txt, _xlfn.SEQUENCE(LEN(_xlpm.txt)), 1),
    _xlpm.filtered, _xlfn._xlws.FILTER(_xlpm.chars, NOT(ISNUMBER(SEARCH(_xlpm.chars, "ABCDEFGHIJKLMNOPQRSTUVWXYZabcdefghijklmnopqrstuvwxyz")))),
    _xlfn.TEXTJOIN("",, _xlpm.filtered)
)</f>
        <v>000446</v>
      </c>
      <c r="B263" s="3" t="s">
        <v>1180</v>
      </c>
      <c r="C263" s="3" t="s">
        <v>1181</v>
      </c>
      <c r="D263" s="4">
        <v>360</v>
      </c>
      <c r="E263" s="3" t="s">
        <v>1182</v>
      </c>
      <c r="F263" s="3" t="s">
        <v>1183</v>
      </c>
      <c r="G263" s="3" t="s">
        <v>1184</v>
      </c>
      <c r="H263" s="3" t="s">
        <v>59</v>
      </c>
      <c r="I263" s="3" t="s">
        <v>20</v>
      </c>
      <c r="J263" s="3" t="s">
        <v>21</v>
      </c>
      <c r="K263" s="3" t="s">
        <v>37</v>
      </c>
      <c r="L263" s="3" t="s">
        <v>174</v>
      </c>
      <c r="M263" s="3" t="s">
        <v>87</v>
      </c>
      <c r="N263" s="3" t="s">
        <v>25</v>
      </c>
      <c r="O263" t="str">
        <f>"2025-05-15"</f>
        <v>2025-05-15</v>
      </c>
      <c r="P263" t="str">
        <f>"2026-05-14"</f>
        <v>2026-05-14</v>
      </c>
    </row>
    <row r="264" spans="1:16" x14ac:dyDescent="0.2">
      <c r="A264" t="str" cm="1">
        <f t="array" ref="A264">_xlfn.LET(
    _xlpm.txt, B264,
    _xlpm.chars, MID(_xlpm.txt, _xlfn.SEQUENCE(LEN(_xlpm.txt)), 1),
    _xlpm.filtered, _xlfn._xlws.FILTER(_xlpm.chars, NOT(ISNUMBER(SEARCH(_xlpm.chars, "ABCDEFGHIJKLMNOPQRSTUVWXYZabcdefghijklmnopqrstuvwxyz")))),
    _xlfn.TEXTJOIN("",, _xlpm.filtered)
)</f>
        <v>000448</v>
      </c>
      <c r="B264" s="3" t="s">
        <v>1185</v>
      </c>
      <c r="C264" s="3" t="s">
        <v>204</v>
      </c>
      <c r="D264" s="4">
        <v>140</v>
      </c>
      <c r="E264" s="3" t="s">
        <v>1186</v>
      </c>
      <c r="F264" s="3" t="s">
        <v>1187</v>
      </c>
      <c r="G264" s="3" t="s">
        <v>1188</v>
      </c>
      <c r="H264" s="3" t="s">
        <v>59</v>
      </c>
      <c r="I264" s="3" t="s">
        <v>33</v>
      </c>
      <c r="J264" s="3" t="s">
        <v>85</v>
      </c>
      <c r="K264" s="3" t="s">
        <v>37</v>
      </c>
      <c r="L264" s="3" t="s">
        <v>38</v>
      </c>
      <c r="M264" s="3" t="s">
        <v>62</v>
      </c>
      <c r="N264" s="3" t="s">
        <v>25</v>
      </c>
      <c r="O264" t="str">
        <f>"2025-03-15"</f>
        <v>2025-03-15</v>
      </c>
      <c r="P264" t="str">
        <f>"2026-03-14"</f>
        <v>2026-03-14</v>
      </c>
    </row>
    <row r="265" spans="1:16" x14ac:dyDescent="0.2">
      <c r="A265" t="str" cm="1">
        <f t="array" ref="A265">_xlfn.LET(
    _xlpm.txt, B265,
    _xlpm.chars, MID(_xlpm.txt, _xlfn.SEQUENCE(LEN(_xlpm.txt)), 1),
    _xlpm.filtered, _xlfn._xlws.FILTER(_xlpm.chars, NOT(ISNUMBER(SEARCH(_xlpm.chars, "ABCDEFGHIJKLMNOPQRSTUVWXYZabcdefghijklmnopqrstuvwxyz")))),
    _xlfn.TEXTJOIN("",, _xlpm.filtered)
)</f>
        <v>000449</v>
      </c>
      <c r="B265" s="3" t="s">
        <v>1189</v>
      </c>
      <c r="C265" s="3" t="s">
        <v>1190</v>
      </c>
      <c r="D265" s="4">
        <v>200</v>
      </c>
      <c r="E265" s="3" t="s">
        <v>1191</v>
      </c>
      <c r="F265" s="3" t="s">
        <v>33</v>
      </c>
      <c r="G265" s="3" t="s">
        <v>1192</v>
      </c>
      <c r="H265" s="3" t="s">
        <v>418</v>
      </c>
      <c r="I265" s="3" t="s">
        <v>20</v>
      </c>
      <c r="J265" s="3" t="s">
        <v>85</v>
      </c>
      <c r="K265" s="3" t="s">
        <v>37</v>
      </c>
      <c r="L265" s="3" t="s">
        <v>1193</v>
      </c>
      <c r="M265" s="3" t="s">
        <v>48</v>
      </c>
      <c r="N265" s="3" t="s">
        <v>25</v>
      </c>
      <c r="O265" t="str">
        <f>"2025-04-01"</f>
        <v>2025-04-01</v>
      </c>
      <c r="P265" t="str">
        <f>"2026-03-31"</f>
        <v>2026-03-31</v>
      </c>
    </row>
    <row r="266" spans="1:16" x14ac:dyDescent="0.2">
      <c r="A266" t="str" cm="1">
        <f t="array" ref="A266">_xlfn.LET(
    _xlpm.txt, B266,
    _xlpm.chars, MID(_xlpm.txt, _xlfn.SEQUENCE(LEN(_xlpm.txt)), 1),
    _xlpm.filtered, _xlfn._xlws.FILTER(_xlpm.chars, NOT(ISNUMBER(SEARCH(_xlpm.chars, "ABCDEFGHIJKLMNOPQRSTUVWXYZabcdefghijklmnopqrstuvwxyz")))),
    _xlfn.TEXTJOIN("",, _xlpm.filtered)
)</f>
        <v>000450</v>
      </c>
      <c r="B266" s="3" t="s">
        <v>1194</v>
      </c>
      <c r="C266" s="3" t="s">
        <v>1190</v>
      </c>
      <c r="D266" s="4">
        <v>250</v>
      </c>
      <c r="E266" s="3" t="s">
        <v>1191</v>
      </c>
      <c r="F266" s="3" t="s">
        <v>33</v>
      </c>
      <c r="G266" s="3" t="s">
        <v>1195</v>
      </c>
      <c r="H266" s="3" t="s">
        <v>279</v>
      </c>
      <c r="I266" s="3" t="s">
        <v>33</v>
      </c>
      <c r="J266" s="3" t="s">
        <v>67</v>
      </c>
      <c r="K266" s="3" t="s">
        <v>156</v>
      </c>
      <c r="L266" s="3" t="s">
        <v>156</v>
      </c>
      <c r="M266" s="3" t="s">
        <v>156</v>
      </c>
      <c r="N266" s="3" t="s">
        <v>25</v>
      </c>
      <c r="O266" t="str">
        <f>"2025-04-01"</f>
        <v>2025-04-01</v>
      </c>
      <c r="P266" t="str">
        <f>"2026-03-31"</f>
        <v>2026-03-31</v>
      </c>
    </row>
    <row r="267" spans="1:16" x14ac:dyDescent="0.2">
      <c r="A267" t="str" cm="1">
        <f t="array" ref="A267">_xlfn.LET(
    _xlpm.txt, B267,
    _xlpm.chars, MID(_xlpm.txt, _xlfn.SEQUENCE(LEN(_xlpm.txt)), 1),
    _xlpm.filtered, _xlfn._xlws.FILTER(_xlpm.chars, NOT(ISNUMBER(SEARCH(_xlpm.chars, "ABCDEFGHIJKLMNOPQRSTUVWXYZabcdefghijklmnopqrstuvwxyz")))),
    _xlfn.TEXTJOIN("",, _xlpm.filtered)
)</f>
        <v>000452</v>
      </c>
      <c r="B267" s="3" t="s">
        <v>1196</v>
      </c>
      <c r="C267" s="3" t="s">
        <v>1197</v>
      </c>
      <c r="D267" s="4">
        <v>360</v>
      </c>
      <c r="E267" s="3" t="s">
        <v>1198</v>
      </c>
      <c r="F267" s="3" t="s">
        <v>1199</v>
      </c>
      <c r="G267" s="3" t="s">
        <v>1200</v>
      </c>
      <c r="H267" s="3" t="s">
        <v>155</v>
      </c>
      <c r="I267" s="3" t="s">
        <v>20</v>
      </c>
      <c r="J267" s="3" t="s">
        <v>73</v>
      </c>
      <c r="K267" s="3" t="s">
        <v>78</v>
      </c>
      <c r="L267" s="3" t="s">
        <v>38</v>
      </c>
      <c r="M267" s="3" t="s">
        <v>24</v>
      </c>
      <c r="N267" s="3" t="s">
        <v>25</v>
      </c>
      <c r="O267" t="str">
        <f>"2025-03-08"</f>
        <v>2025-03-08</v>
      </c>
      <c r="P267" t="str">
        <f>"2026-03-07"</f>
        <v>2026-03-07</v>
      </c>
    </row>
    <row r="268" spans="1:16" x14ac:dyDescent="0.2">
      <c r="A268" t="str" cm="1">
        <f t="array" ref="A268">_xlfn.LET(
    _xlpm.txt, B268,
    _xlpm.chars, MID(_xlpm.txt, _xlfn.SEQUENCE(LEN(_xlpm.txt)), 1),
    _xlpm.filtered, _xlfn._xlws.FILTER(_xlpm.chars, NOT(ISNUMBER(SEARCH(_xlpm.chars, "ABCDEFGHIJKLMNOPQRSTUVWXYZabcdefghijklmnopqrstuvwxyz")))),
    _xlfn.TEXTJOIN("",, _xlpm.filtered)
)</f>
        <v>000453</v>
      </c>
      <c r="B268" s="3" t="s">
        <v>1201</v>
      </c>
      <c r="C268" s="3" t="s">
        <v>1202</v>
      </c>
      <c r="D268" s="4">
        <v>150</v>
      </c>
      <c r="E268" s="3" t="s">
        <v>33</v>
      </c>
      <c r="F268" s="3" t="s">
        <v>1203</v>
      </c>
      <c r="G268" s="3" t="s">
        <v>1204</v>
      </c>
      <c r="H268" s="3" t="s">
        <v>945</v>
      </c>
      <c r="I268" s="3" t="s">
        <v>33</v>
      </c>
      <c r="J268" s="3" t="s">
        <v>36</v>
      </c>
      <c r="K268" s="3" t="s">
        <v>37</v>
      </c>
      <c r="L268" s="3" t="s">
        <v>1205</v>
      </c>
      <c r="M268" s="3" t="s">
        <v>1206</v>
      </c>
      <c r="N268" s="3" t="s">
        <v>25</v>
      </c>
      <c r="O268" t="str">
        <f>"2022-10-01"</f>
        <v>2022-10-01</v>
      </c>
      <c r="P268" t="str">
        <f>"2023-09-30"</f>
        <v>2023-09-30</v>
      </c>
    </row>
    <row r="269" spans="1:16" x14ac:dyDescent="0.2">
      <c r="A269" t="str" cm="1">
        <f t="array" ref="A269">_xlfn.LET(
    _xlpm.txt, B269,
    _xlpm.chars, MID(_xlpm.txt, _xlfn.SEQUENCE(LEN(_xlpm.txt)), 1),
    _xlpm.filtered, _xlfn._xlws.FILTER(_xlpm.chars, NOT(ISNUMBER(SEARCH(_xlpm.chars, "ABCDEFGHIJKLMNOPQRSTUVWXYZabcdefghijklmnopqrstuvwxyz")))),
    _xlfn.TEXTJOIN("",, _xlpm.filtered)
)</f>
        <v>000454</v>
      </c>
      <c r="B269" s="3" t="s">
        <v>1207</v>
      </c>
      <c r="C269" s="3" t="s">
        <v>115</v>
      </c>
      <c r="D269" s="4">
        <v>150</v>
      </c>
      <c r="E269" s="3" t="s">
        <v>943</v>
      </c>
      <c r="F269" s="3" t="s">
        <v>33</v>
      </c>
      <c r="G269" s="3" t="s">
        <v>1208</v>
      </c>
      <c r="H269" s="3" t="s">
        <v>35</v>
      </c>
      <c r="I269" s="3" t="s">
        <v>20</v>
      </c>
      <c r="J269" s="3" t="s">
        <v>60</v>
      </c>
      <c r="K269" s="3" t="s">
        <v>22</v>
      </c>
      <c r="L269" s="3" t="s">
        <v>38</v>
      </c>
      <c r="M269" s="3" t="s">
        <v>1209</v>
      </c>
      <c r="N269" s="3" t="s">
        <v>25</v>
      </c>
      <c r="O269" t="str">
        <f>"2025-03-01"</f>
        <v>2025-03-01</v>
      </c>
      <c r="P269" t="str">
        <f>"2026-02-28"</f>
        <v>2026-02-28</v>
      </c>
    </row>
    <row r="270" spans="1:16" x14ac:dyDescent="0.2">
      <c r="A270" t="str" cm="1">
        <f t="array" ref="A270">_xlfn.LET(
    _xlpm.txt, B270,
    _xlpm.chars, MID(_xlpm.txt, _xlfn.SEQUENCE(LEN(_xlpm.txt)), 1),
    _xlpm.filtered, _xlfn._xlws.FILTER(_xlpm.chars, NOT(ISNUMBER(SEARCH(_xlpm.chars, "ABCDEFGHIJKLMNOPQRSTUVWXYZabcdefghijklmnopqrstuvwxyz")))),
    _xlfn.TEXTJOIN("",, _xlpm.filtered)
)</f>
        <v>000455</v>
      </c>
      <c r="B270" s="3" t="s">
        <v>1210</v>
      </c>
      <c r="C270" s="3" t="s">
        <v>1211</v>
      </c>
      <c r="D270" s="4">
        <v>150</v>
      </c>
      <c r="E270" s="3" t="s">
        <v>1212</v>
      </c>
      <c r="F270" s="3" t="s">
        <v>33</v>
      </c>
      <c r="G270" s="3" t="s">
        <v>1213</v>
      </c>
      <c r="H270" s="3" t="s">
        <v>112</v>
      </c>
      <c r="I270" s="3" t="s">
        <v>33</v>
      </c>
      <c r="J270" s="3" t="s">
        <v>67</v>
      </c>
      <c r="K270" s="3" t="s">
        <v>37</v>
      </c>
      <c r="L270" s="3" t="s">
        <v>38</v>
      </c>
      <c r="M270" s="3" t="s">
        <v>24</v>
      </c>
      <c r="N270" s="3" t="s">
        <v>25</v>
      </c>
      <c r="O270" t="str">
        <f>"2025-04-01"</f>
        <v>2025-04-01</v>
      </c>
      <c r="P270" t="str">
        <f>"2026-03-31"</f>
        <v>2026-03-31</v>
      </c>
    </row>
    <row r="271" spans="1:16" x14ac:dyDescent="0.2">
      <c r="A271" t="str" cm="1">
        <f t="array" ref="A271">_xlfn.LET(
    _xlpm.txt, B271,
    _xlpm.chars, MID(_xlpm.txt, _xlfn.SEQUENCE(LEN(_xlpm.txt)), 1),
    _xlpm.filtered, _xlfn._xlws.FILTER(_xlpm.chars, NOT(ISNUMBER(SEARCH(_xlpm.chars, "ABCDEFGHIJKLMNOPQRSTUVWXYZabcdefghijklmnopqrstuvwxyz")))),
    _xlfn.TEXTJOIN("",, _xlpm.filtered)
)</f>
        <v>000456</v>
      </c>
      <c r="B271" s="3" t="s">
        <v>1214</v>
      </c>
      <c r="C271" s="3" t="s">
        <v>1215</v>
      </c>
      <c r="D271" s="4">
        <v>200</v>
      </c>
      <c r="E271" s="3" t="s">
        <v>181</v>
      </c>
      <c r="F271" s="3" t="s">
        <v>33</v>
      </c>
      <c r="G271" s="3" t="s">
        <v>1216</v>
      </c>
      <c r="H271" s="3" t="s">
        <v>184</v>
      </c>
      <c r="I271" s="3" t="s">
        <v>20</v>
      </c>
      <c r="J271" s="3" t="s">
        <v>73</v>
      </c>
      <c r="K271" s="3" t="s">
        <v>22</v>
      </c>
      <c r="L271" s="3" t="s">
        <v>47</v>
      </c>
      <c r="M271" s="3" t="s">
        <v>144</v>
      </c>
      <c r="N271" s="3" t="s">
        <v>25</v>
      </c>
      <c r="O271" t="str">
        <f>"2025-04-05"</f>
        <v>2025-04-05</v>
      </c>
      <c r="P271" t="str">
        <f>"2026-04-04"</f>
        <v>2026-04-04</v>
      </c>
    </row>
    <row r="272" spans="1:16" x14ac:dyDescent="0.2">
      <c r="A272" t="str" cm="1">
        <f t="array" ref="A272">_xlfn.LET(
    _xlpm.txt, B272,
    _xlpm.chars, MID(_xlpm.txt, _xlfn.SEQUENCE(LEN(_xlpm.txt)), 1),
    _xlpm.filtered, _xlfn._xlws.FILTER(_xlpm.chars, NOT(ISNUMBER(SEARCH(_xlpm.chars, "ABCDEFGHIJKLMNOPQRSTUVWXYZabcdefghijklmnopqrstuvwxyz")))),
    _xlfn.TEXTJOIN("",, _xlpm.filtered)
)</f>
        <v>000457</v>
      </c>
      <c r="B272" s="3" t="s">
        <v>1217</v>
      </c>
      <c r="C272" s="3" t="s">
        <v>1218</v>
      </c>
      <c r="D272" s="4">
        <v>380</v>
      </c>
      <c r="E272" s="3" t="s">
        <v>1219</v>
      </c>
      <c r="F272" s="3" t="s">
        <v>1220</v>
      </c>
      <c r="G272" s="3" t="s">
        <v>1221</v>
      </c>
      <c r="H272" s="3" t="s">
        <v>112</v>
      </c>
      <c r="I272" s="3" t="s">
        <v>20</v>
      </c>
      <c r="J272" s="3" t="s">
        <v>36</v>
      </c>
      <c r="K272" s="3" t="s">
        <v>37</v>
      </c>
      <c r="L272" s="3" t="s">
        <v>38</v>
      </c>
      <c r="M272" s="3" t="s">
        <v>1223</v>
      </c>
      <c r="N272" s="3" t="s">
        <v>25</v>
      </c>
      <c r="O272" t="str">
        <f>"2025-01-01"</f>
        <v>2025-01-01</v>
      </c>
      <c r="P272" t="str">
        <f>"2026-12-31"</f>
        <v>2026-12-31</v>
      </c>
    </row>
    <row r="273" spans="1:16" x14ac:dyDescent="0.2">
      <c r="A273" t="str" cm="1">
        <f t="array" ref="A273">_xlfn.LET(
    _xlpm.txt, B273,
    _xlpm.chars, MID(_xlpm.txt, _xlfn.SEQUENCE(LEN(_xlpm.txt)), 1),
    _xlpm.filtered, _xlfn._xlws.FILTER(_xlpm.chars, NOT(ISNUMBER(SEARCH(_xlpm.chars, "ABCDEFGHIJKLMNOPQRSTUVWXYZabcdefghijklmnopqrstuvwxyz")))),
    _xlfn.TEXTJOIN("",, _xlpm.filtered)
)</f>
        <v>000458</v>
      </c>
      <c r="B273" s="3" t="s">
        <v>1224</v>
      </c>
      <c r="C273" s="3" t="s">
        <v>1225</v>
      </c>
      <c r="D273" s="4">
        <v>150</v>
      </c>
      <c r="E273" s="3" t="s">
        <v>33</v>
      </c>
      <c r="F273" s="3" t="s">
        <v>1226</v>
      </c>
      <c r="G273" s="3" t="s">
        <v>1227</v>
      </c>
      <c r="H273" s="3" t="s">
        <v>302</v>
      </c>
      <c r="I273" s="3" t="s">
        <v>33</v>
      </c>
      <c r="J273" s="3" t="s">
        <v>67</v>
      </c>
      <c r="K273" s="3" t="s">
        <v>37</v>
      </c>
      <c r="L273" s="3" t="s">
        <v>38</v>
      </c>
      <c r="M273" s="3" t="s">
        <v>24</v>
      </c>
      <c r="N273" s="3" t="s">
        <v>25</v>
      </c>
      <c r="O273" t="str">
        <f>"2024-10-01"</f>
        <v>2024-10-01</v>
      </c>
      <c r="P273" t="str">
        <f>"2025-09-30"</f>
        <v>2025-09-30</v>
      </c>
    </row>
    <row r="274" spans="1:16" x14ac:dyDescent="0.2">
      <c r="A274" t="str" cm="1">
        <f t="array" ref="A274">_xlfn.LET(
    _xlpm.txt, B274,
    _xlpm.chars, MID(_xlpm.txt, _xlfn.SEQUENCE(LEN(_xlpm.txt)), 1),
    _xlpm.filtered, _xlfn._xlws.FILTER(_xlpm.chars, NOT(ISNUMBER(SEARCH(_xlpm.chars, "ABCDEFGHIJKLMNOPQRSTUVWXYZabcdefghijklmnopqrstuvwxyz")))),
    _xlfn.TEXTJOIN("",, _xlpm.filtered)
)</f>
        <v>000461</v>
      </c>
      <c r="B274" s="3" t="s">
        <v>1228</v>
      </c>
      <c r="C274" s="3" t="s">
        <v>1229</v>
      </c>
      <c r="D274" s="4">
        <v>360</v>
      </c>
      <c r="E274" s="3" t="s">
        <v>1230</v>
      </c>
      <c r="F274" s="3" t="s">
        <v>1231</v>
      </c>
      <c r="G274" s="3" t="s">
        <v>1232</v>
      </c>
      <c r="H274" s="3" t="s">
        <v>19</v>
      </c>
      <c r="I274" s="3" t="s">
        <v>33</v>
      </c>
      <c r="J274" s="3" t="s">
        <v>21</v>
      </c>
      <c r="K274" s="3" t="s">
        <v>37</v>
      </c>
      <c r="L274" s="3" t="s">
        <v>23</v>
      </c>
      <c r="M274" s="3" t="s">
        <v>24</v>
      </c>
      <c r="N274" s="3" t="s">
        <v>25</v>
      </c>
      <c r="O274" t="str">
        <f>"2025-05-01"</f>
        <v>2025-05-01</v>
      </c>
      <c r="P274" t="str">
        <f>"2026-04-30"</f>
        <v>2026-04-30</v>
      </c>
    </row>
    <row r="275" spans="1:16" x14ac:dyDescent="0.2">
      <c r="A275" t="str" cm="1">
        <f t="array" ref="A275">_xlfn.LET(
    _xlpm.txt, B275,
    _xlpm.chars, MID(_xlpm.txt, _xlfn.SEQUENCE(LEN(_xlpm.txt)), 1),
    _xlpm.filtered, _xlfn._xlws.FILTER(_xlpm.chars, NOT(ISNUMBER(SEARCH(_xlpm.chars, "ABCDEFGHIJKLMNOPQRSTUVWXYZabcdefghijklmnopqrstuvwxyz")))),
    _xlfn.TEXTJOIN("",, _xlpm.filtered)
)</f>
        <v>000462</v>
      </c>
      <c r="B275" s="3" t="s">
        <v>1233</v>
      </c>
      <c r="C275" s="3" t="s">
        <v>1234</v>
      </c>
      <c r="D275" s="4">
        <v>400</v>
      </c>
      <c r="E275" s="3" t="s">
        <v>1235</v>
      </c>
      <c r="F275" s="3" t="s">
        <v>1236</v>
      </c>
      <c r="G275" s="3" t="s">
        <v>1237</v>
      </c>
      <c r="H275" s="3" t="s">
        <v>824</v>
      </c>
      <c r="I275" s="3" t="s">
        <v>20</v>
      </c>
      <c r="J275" s="3" t="s">
        <v>21</v>
      </c>
      <c r="K275" s="3" t="s">
        <v>37</v>
      </c>
      <c r="L275" s="3" t="s">
        <v>38</v>
      </c>
      <c r="M275" s="3" t="s">
        <v>48</v>
      </c>
      <c r="N275" s="3" t="s">
        <v>25</v>
      </c>
      <c r="O275" t="str">
        <f>"2025-05-01"</f>
        <v>2025-05-01</v>
      </c>
      <c r="P275" t="str">
        <f>"2026-04-30"</f>
        <v>2026-04-30</v>
      </c>
    </row>
    <row r="276" spans="1:16" x14ac:dyDescent="0.2">
      <c r="A276" t="str" cm="1">
        <f t="array" ref="A276">_xlfn.LET(
    _xlpm.txt, B276,
    _xlpm.chars, MID(_xlpm.txt, _xlfn.SEQUENCE(LEN(_xlpm.txt)), 1),
    _xlpm.filtered, _xlfn._xlws.FILTER(_xlpm.chars, NOT(ISNUMBER(SEARCH(_xlpm.chars, "ABCDEFGHIJKLMNOPQRSTUVWXYZabcdefghijklmnopqrstuvwxyz")))),
    _xlfn.TEXTJOIN("",, _xlpm.filtered)
)</f>
        <v>000464</v>
      </c>
      <c r="B276" s="3" t="s">
        <v>1239</v>
      </c>
      <c r="C276" s="3" t="s">
        <v>1218</v>
      </c>
      <c r="D276" s="4">
        <v>700</v>
      </c>
      <c r="E276" s="3" t="s">
        <v>1219</v>
      </c>
      <c r="F276" s="3" t="s">
        <v>1240</v>
      </c>
      <c r="G276" s="3" t="s">
        <v>1241</v>
      </c>
      <c r="H276" s="3" t="s">
        <v>824</v>
      </c>
      <c r="I276" s="3" t="s">
        <v>20</v>
      </c>
      <c r="J276" s="3" t="s">
        <v>21</v>
      </c>
      <c r="K276" s="3" t="s">
        <v>22</v>
      </c>
      <c r="L276" s="3" t="s">
        <v>38</v>
      </c>
      <c r="M276" s="3" t="s">
        <v>87</v>
      </c>
      <c r="N276" s="3" t="s">
        <v>25</v>
      </c>
      <c r="O276" t="str">
        <f>"2025-01-01"</f>
        <v>2025-01-01</v>
      </c>
      <c r="P276" t="str">
        <f>"2026-12-31"</f>
        <v>2026-12-31</v>
      </c>
    </row>
    <row r="277" spans="1:16" x14ac:dyDescent="0.2">
      <c r="A277" t="str" cm="1">
        <f t="array" ref="A277">_xlfn.LET(
    _xlpm.txt, B277,
    _xlpm.chars, MID(_xlpm.txt, _xlfn.SEQUENCE(LEN(_xlpm.txt)), 1),
    _xlpm.filtered, _xlfn._xlws.FILTER(_xlpm.chars, NOT(ISNUMBER(SEARCH(_xlpm.chars, "ABCDEFGHIJKLMNOPQRSTUVWXYZabcdefghijklmnopqrstuvwxyz")))),
    _xlfn.TEXTJOIN("",, _xlpm.filtered)
)</f>
        <v>000465</v>
      </c>
      <c r="B277" s="3" t="s">
        <v>1242</v>
      </c>
      <c r="C277" s="3" t="s">
        <v>1218</v>
      </c>
      <c r="D277" s="4">
        <v>700</v>
      </c>
      <c r="E277" s="3" t="s">
        <v>1219</v>
      </c>
      <c r="F277" s="3" t="s">
        <v>33</v>
      </c>
      <c r="G277" s="3" t="s">
        <v>1243</v>
      </c>
      <c r="H277" s="3" t="s">
        <v>824</v>
      </c>
      <c r="I277" s="3" t="s">
        <v>20</v>
      </c>
      <c r="J277" s="3" t="s">
        <v>119</v>
      </c>
      <c r="K277" s="3" t="s">
        <v>1244</v>
      </c>
      <c r="L277" s="3" t="s">
        <v>38</v>
      </c>
      <c r="M277" s="3" t="s">
        <v>87</v>
      </c>
      <c r="N277" s="3" t="s">
        <v>25</v>
      </c>
      <c r="O277" t="str">
        <f>"2025-01-01"</f>
        <v>2025-01-01</v>
      </c>
      <c r="P277" t="str">
        <f>"2026-12-31"</f>
        <v>2026-12-31</v>
      </c>
    </row>
    <row r="278" spans="1:16" x14ac:dyDescent="0.2">
      <c r="A278" t="str" cm="1">
        <f t="array" ref="A278">_xlfn.LET(
    _xlpm.txt, B278,
    _xlpm.chars, MID(_xlpm.txt, _xlfn.SEQUENCE(LEN(_xlpm.txt)), 1),
    _xlpm.filtered, _xlfn._xlws.FILTER(_xlpm.chars, NOT(ISNUMBER(SEARCH(_xlpm.chars, "ABCDEFGHIJKLMNOPQRSTUVWXYZabcdefghijklmnopqrstuvwxyz")))),
    _xlfn.TEXTJOIN("",, _xlpm.filtered)
)</f>
        <v>000466</v>
      </c>
      <c r="B278" s="3" t="s">
        <v>1245</v>
      </c>
      <c r="C278" s="3" t="s">
        <v>1238</v>
      </c>
      <c r="D278" s="4">
        <v>340</v>
      </c>
      <c r="E278" s="3" t="s">
        <v>1235</v>
      </c>
      <c r="F278" s="3" t="s">
        <v>1246</v>
      </c>
      <c r="G278" s="3" t="s">
        <v>1247</v>
      </c>
      <c r="H278" s="3" t="s">
        <v>19</v>
      </c>
      <c r="I278" s="3" t="s">
        <v>20</v>
      </c>
      <c r="J278" s="3" t="s">
        <v>73</v>
      </c>
      <c r="K278" s="3" t="s">
        <v>37</v>
      </c>
      <c r="L278" s="3" t="s">
        <v>23</v>
      </c>
      <c r="M278" s="3" t="s">
        <v>24</v>
      </c>
      <c r="N278" s="3" t="s">
        <v>25</v>
      </c>
      <c r="O278" t="str">
        <f t="shared" ref="O278:O284" si="0">"2025-06-01"</f>
        <v>2025-06-01</v>
      </c>
      <c r="P278" t="str">
        <f t="shared" ref="P278:P285" si="1">"2026-05-31"</f>
        <v>2026-05-31</v>
      </c>
    </row>
    <row r="279" spans="1:16" x14ac:dyDescent="0.2">
      <c r="A279" t="str" cm="1">
        <f t="array" ref="A279">_xlfn.LET(
    _xlpm.txt, B279,
    _xlpm.chars, MID(_xlpm.txt, _xlfn.SEQUENCE(LEN(_xlpm.txt)), 1),
    _xlpm.filtered, _xlfn._xlws.FILTER(_xlpm.chars, NOT(ISNUMBER(SEARCH(_xlpm.chars, "ABCDEFGHIJKLMNOPQRSTUVWXYZabcdefghijklmnopqrstuvwxyz")))),
    _xlfn.TEXTJOIN("",, _xlpm.filtered)
)</f>
        <v>000469</v>
      </c>
      <c r="B279" s="3" t="s">
        <v>1248</v>
      </c>
      <c r="C279" s="3" t="s">
        <v>1103</v>
      </c>
      <c r="D279" s="4">
        <v>150</v>
      </c>
      <c r="E279" s="3" t="s">
        <v>1104</v>
      </c>
      <c r="F279" s="3" t="s">
        <v>33</v>
      </c>
      <c r="G279" s="3" t="s">
        <v>1249</v>
      </c>
      <c r="H279" s="3" t="s">
        <v>308</v>
      </c>
      <c r="I279" s="3" t="s">
        <v>33</v>
      </c>
      <c r="J279" s="3" t="s">
        <v>85</v>
      </c>
      <c r="K279" s="3" t="s">
        <v>37</v>
      </c>
      <c r="L279" s="3" t="s">
        <v>47</v>
      </c>
      <c r="M279" s="3" t="s">
        <v>24</v>
      </c>
      <c r="N279" s="3" t="s">
        <v>25</v>
      </c>
      <c r="O279" t="str">
        <f t="shared" si="0"/>
        <v>2025-06-01</v>
      </c>
      <c r="P279" t="str">
        <f t="shared" si="1"/>
        <v>2026-05-31</v>
      </c>
    </row>
    <row r="280" spans="1:16" x14ac:dyDescent="0.2">
      <c r="A280" t="str" cm="1">
        <f t="array" ref="A280">_xlfn.LET(
    _xlpm.txt, B280,
    _xlpm.chars, MID(_xlpm.txt, _xlfn.SEQUENCE(LEN(_xlpm.txt)), 1),
    _xlpm.filtered, _xlfn._xlws.FILTER(_xlpm.chars, NOT(ISNUMBER(SEARCH(_xlpm.chars, "ABCDEFGHIJKLMNOPQRSTUVWXYZabcdefghijklmnopqrstuvwxyz")))),
    _xlfn.TEXTJOIN("",, _xlpm.filtered)
)</f>
        <v>000470</v>
      </c>
      <c r="B280" s="3" t="s">
        <v>1250</v>
      </c>
      <c r="C280" s="3" t="s">
        <v>1103</v>
      </c>
      <c r="D280" s="4">
        <v>150</v>
      </c>
      <c r="E280" s="3" t="s">
        <v>1104</v>
      </c>
      <c r="F280" s="3" t="s">
        <v>33</v>
      </c>
      <c r="G280" s="3" t="s">
        <v>1251</v>
      </c>
      <c r="H280" s="3" t="s">
        <v>155</v>
      </c>
      <c r="I280" s="3" t="s">
        <v>33</v>
      </c>
      <c r="J280" s="3" t="s">
        <v>85</v>
      </c>
      <c r="K280" s="3" t="s">
        <v>37</v>
      </c>
      <c r="L280" s="3" t="s">
        <v>47</v>
      </c>
      <c r="M280" s="3" t="s">
        <v>48</v>
      </c>
      <c r="N280" s="3" t="s">
        <v>25</v>
      </c>
      <c r="O280" t="str">
        <f t="shared" si="0"/>
        <v>2025-06-01</v>
      </c>
      <c r="P280" t="str">
        <f t="shared" si="1"/>
        <v>2026-05-31</v>
      </c>
    </row>
    <row r="281" spans="1:16" x14ac:dyDescent="0.2">
      <c r="A281" t="str" cm="1">
        <f t="array" ref="A281">_xlfn.LET(
    _xlpm.txt, B281,
    _xlpm.chars, MID(_xlpm.txt, _xlfn.SEQUENCE(LEN(_xlpm.txt)), 1),
    _xlpm.filtered, _xlfn._xlws.FILTER(_xlpm.chars, NOT(ISNUMBER(SEARCH(_xlpm.chars, "ABCDEFGHIJKLMNOPQRSTUVWXYZabcdefghijklmnopqrstuvwxyz")))),
    _xlfn.TEXTJOIN("",, _xlpm.filtered)
)</f>
        <v>000471</v>
      </c>
      <c r="B281" s="3" t="s">
        <v>1252</v>
      </c>
      <c r="C281" s="3" t="s">
        <v>1253</v>
      </c>
      <c r="D281" s="4">
        <v>130</v>
      </c>
      <c r="E281" s="3" t="s">
        <v>1254</v>
      </c>
      <c r="F281" s="3" t="s">
        <v>33</v>
      </c>
      <c r="G281" s="3" t="s">
        <v>1255</v>
      </c>
      <c r="H281" s="3" t="s">
        <v>1256</v>
      </c>
      <c r="I281" s="3" t="s">
        <v>33</v>
      </c>
      <c r="J281" s="3" t="s">
        <v>67</v>
      </c>
      <c r="K281" s="3" t="s">
        <v>33</v>
      </c>
      <c r="L281" s="3" t="s">
        <v>23</v>
      </c>
      <c r="M281" s="3" t="s">
        <v>33</v>
      </c>
      <c r="N281" s="3" t="s">
        <v>33</v>
      </c>
      <c r="O281" t="str">
        <f t="shared" si="0"/>
        <v>2025-06-01</v>
      </c>
      <c r="P281" t="str">
        <f t="shared" si="1"/>
        <v>2026-05-31</v>
      </c>
    </row>
    <row r="282" spans="1:16" x14ac:dyDescent="0.2">
      <c r="A282" t="str" cm="1">
        <f t="array" ref="A282">_xlfn.LET(
    _xlpm.txt, B282,
    _xlpm.chars, MID(_xlpm.txt, _xlfn.SEQUENCE(LEN(_xlpm.txt)), 1),
    _xlpm.filtered, _xlfn._xlws.FILTER(_xlpm.chars, NOT(ISNUMBER(SEARCH(_xlpm.chars, "ABCDEFGHIJKLMNOPQRSTUVWXYZabcdefghijklmnopqrstuvwxyz")))),
    _xlfn.TEXTJOIN("",, _xlpm.filtered)
)</f>
        <v>000472</v>
      </c>
      <c r="B282" s="3" t="s">
        <v>1257</v>
      </c>
      <c r="C282" s="3" t="s">
        <v>1258</v>
      </c>
      <c r="D282" s="4">
        <v>360</v>
      </c>
      <c r="E282" s="3" t="s">
        <v>1024</v>
      </c>
      <c r="F282" s="3" t="s">
        <v>33</v>
      </c>
      <c r="G282" s="3" t="s">
        <v>1259</v>
      </c>
      <c r="H282" s="3" t="s">
        <v>84</v>
      </c>
      <c r="I282" s="3" t="s">
        <v>20</v>
      </c>
      <c r="J282" s="3" t="s">
        <v>21</v>
      </c>
      <c r="K282" s="3" t="s">
        <v>33</v>
      </c>
      <c r="L282" s="3" t="s">
        <v>138</v>
      </c>
      <c r="M282" s="3" t="s">
        <v>62</v>
      </c>
      <c r="N282" s="3" t="s">
        <v>25</v>
      </c>
      <c r="O282" t="str">
        <f t="shared" si="0"/>
        <v>2025-06-01</v>
      </c>
      <c r="P282" t="str">
        <f t="shared" si="1"/>
        <v>2026-05-31</v>
      </c>
    </row>
    <row r="283" spans="1:16" x14ac:dyDescent="0.2">
      <c r="A283" t="str" cm="1">
        <f t="array" ref="A283">_xlfn.LET(
    _xlpm.txt, B283,
    _xlpm.chars, MID(_xlpm.txt, _xlfn.SEQUENCE(LEN(_xlpm.txt)), 1),
    _xlpm.filtered, _xlfn._xlws.FILTER(_xlpm.chars, NOT(ISNUMBER(SEARCH(_xlpm.chars, "ABCDEFGHIJKLMNOPQRSTUVWXYZabcdefghijklmnopqrstuvwxyz")))),
    _xlfn.TEXTJOIN("",, _xlpm.filtered)
)</f>
        <v>000473</v>
      </c>
      <c r="B283" s="3" t="s">
        <v>1261</v>
      </c>
      <c r="C283" s="3" t="s">
        <v>1118</v>
      </c>
      <c r="D283" s="4">
        <v>360</v>
      </c>
      <c r="E283" s="3" t="s">
        <v>1119</v>
      </c>
      <c r="F283" s="3" t="s">
        <v>1262</v>
      </c>
      <c r="G283" s="3" t="s">
        <v>1263</v>
      </c>
      <c r="H283" s="3" t="s">
        <v>487</v>
      </c>
      <c r="I283" s="3" t="s">
        <v>33</v>
      </c>
      <c r="J283" s="3" t="s">
        <v>21</v>
      </c>
      <c r="K283" s="3" t="s">
        <v>1264</v>
      </c>
      <c r="L283" s="3" t="s">
        <v>174</v>
      </c>
      <c r="M283" s="3" t="s">
        <v>48</v>
      </c>
      <c r="N283" s="3" t="s">
        <v>25</v>
      </c>
      <c r="O283" t="str">
        <f t="shared" si="0"/>
        <v>2025-06-01</v>
      </c>
      <c r="P283" t="str">
        <f t="shared" si="1"/>
        <v>2026-05-31</v>
      </c>
    </row>
    <row r="284" spans="1:16" x14ac:dyDescent="0.2">
      <c r="A284" t="str" cm="1">
        <f t="array" ref="A284">_xlfn.LET(
    _xlpm.txt, B284,
    _xlpm.chars, MID(_xlpm.txt, _xlfn.SEQUENCE(LEN(_xlpm.txt)), 1),
    _xlpm.filtered, _xlfn._xlws.FILTER(_xlpm.chars, NOT(ISNUMBER(SEARCH(_xlpm.chars, "ABCDEFGHIJKLMNOPQRSTUVWXYZabcdefghijklmnopqrstuvwxyz")))),
    _xlfn.TEXTJOIN("",, _xlpm.filtered)
)</f>
        <v>000474</v>
      </c>
      <c r="B284" s="3" t="s">
        <v>1265</v>
      </c>
      <c r="C284" s="3" t="s">
        <v>1266</v>
      </c>
      <c r="D284" s="4">
        <v>120</v>
      </c>
      <c r="E284" s="3" t="s">
        <v>1267</v>
      </c>
      <c r="F284" s="3" t="s">
        <v>33</v>
      </c>
      <c r="G284" s="3" t="s">
        <v>1268</v>
      </c>
      <c r="H284" s="3" t="s">
        <v>665</v>
      </c>
      <c r="I284" s="3" t="s">
        <v>550</v>
      </c>
      <c r="J284" s="3" t="s">
        <v>36</v>
      </c>
      <c r="K284" s="3" t="s">
        <v>37</v>
      </c>
      <c r="L284" s="3" t="s">
        <v>38</v>
      </c>
      <c r="M284" s="3" t="s">
        <v>24</v>
      </c>
      <c r="N284" s="3" t="s">
        <v>25</v>
      </c>
      <c r="O284" t="str">
        <f t="shared" si="0"/>
        <v>2025-06-01</v>
      </c>
      <c r="P284" t="str">
        <f t="shared" si="1"/>
        <v>2026-05-31</v>
      </c>
    </row>
    <row r="285" spans="1:16" x14ac:dyDescent="0.2">
      <c r="A285" t="str" cm="1">
        <f t="array" ref="A285">_xlfn.LET(
    _xlpm.txt, B285,
    _xlpm.chars, MID(_xlpm.txt, _xlfn.SEQUENCE(LEN(_xlpm.txt)), 1),
    _xlpm.filtered, _xlfn._xlws.FILTER(_xlpm.chars, NOT(ISNUMBER(SEARCH(_xlpm.chars, "ABCDEFGHIJKLMNOPQRSTUVWXYZabcdefghijklmnopqrstuvwxyz")))),
    _xlfn.TEXTJOIN("",, _xlpm.filtered)
)</f>
        <v>000475</v>
      </c>
      <c r="B285" s="3" t="s">
        <v>1269</v>
      </c>
      <c r="C285" s="3" t="s">
        <v>1238</v>
      </c>
      <c r="D285" s="4">
        <v>400</v>
      </c>
      <c r="E285" s="3" t="s">
        <v>1235</v>
      </c>
      <c r="F285" s="3" t="s">
        <v>1270</v>
      </c>
      <c r="G285" s="3" t="s">
        <v>1271</v>
      </c>
      <c r="H285" s="3" t="s">
        <v>294</v>
      </c>
      <c r="I285" s="3" t="s">
        <v>20</v>
      </c>
      <c r="J285" s="3" t="s">
        <v>229</v>
      </c>
      <c r="K285" s="3" t="s">
        <v>488</v>
      </c>
      <c r="L285" s="3" t="s">
        <v>174</v>
      </c>
      <c r="M285" s="3" t="s">
        <v>87</v>
      </c>
      <c r="N285" s="3" t="s">
        <v>25</v>
      </c>
      <c r="O285" t="str">
        <f>"2024-06-01"</f>
        <v>2024-06-01</v>
      </c>
      <c r="P285" t="str">
        <f t="shared" si="1"/>
        <v>2026-05-31</v>
      </c>
    </row>
    <row r="286" spans="1:16" x14ac:dyDescent="0.2">
      <c r="A286" t="str" cm="1">
        <f t="array" ref="A286">_xlfn.LET(
    _xlpm.txt, B286,
    _xlpm.chars, MID(_xlpm.txt, _xlfn.SEQUENCE(LEN(_xlpm.txt)), 1),
    _xlpm.filtered, _xlfn._xlws.FILTER(_xlpm.chars, NOT(ISNUMBER(SEARCH(_xlpm.chars, "ABCDEFGHIJKLMNOPQRSTUVWXYZabcdefghijklmnopqrstuvwxyz")))),
    _xlfn.TEXTJOIN("",, _xlpm.filtered)
)</f>
        <v>000476</v>
      </c>
      <c r="B286" s="3" t="s">
        <v>1272</v>
      </c>
      <c r="C286" s="3" t="s">
        <v>1118</v>
      </c>
      <c r="D286" s="4">
        <v>360</v>
      </c>
      <c r="E286" s="3" t="s">
        <v>1119</v>
      </c>
      <c r="F286" s="3" t="s">
        <v>1273</v>
      </c>
      <c r="G286" s="3" t="s">
        <v>1274</v>
      </c>
      <c r="H286" s="3" t="s">
        <v>294</v>
      </c>
      <c r="I286" s="3" t="s">
        <v>33</v>
      </c>
      <c r="J286" s="3" t="s">
        <v>21</v>
      </c>
      <c r="K286" s="3" t="s">
        <v>488</v>
      </c>
      <c r="L286" s="3" t="s">
        <v>913</v>
      </c>
      <c r="M286" s="3" t="s">
        <v>87</v>
      </c>
      <c r="N286" s="3" t="s">
        <v>25</v>
      </c>
      <c r="O286" t="str">
        <f>"2025-07-01"</f>
        <v>2025-07-01</v>
      </c>
      <c r="P286" t="str">
        <f>"2026-06-30"</f>
        <v>2026-06-30</v>
      </c>
    </row>
    <row r="287" spans="1:16" x14ac:dyDescent="0.2">
      <c r="A287" t="str" cm="1">
        <f t="array" ref="A287">_xlfn.LET(
    _xlpm.txt, B287,
    _xlpm.chars, MID(_xlpm.txt, _xlfn.SEQUENCE(LEN(_xlpm.txt)), 1),
    _xlpm.filtered, _xlfn._xlws.FILTER(_xlpm.chars, NOT(ISNUMBER(SEARCH(_xlpm.chars, "ABCDEFGHIJKLMNOPQRSTUVWXYZabcdefghijklmnopqrstuvwxyz")))),
    _xlfn.TEXTJOIN("",, _xlpm.filtered)
)</f>
        <v>000477</v>
      </c>
      <c r="B287" s="3" t="s">
        <v>1275</v>
      </c>
      <c r="C287" s="3" t="s">
        <v>1276</v>
      </c>
      <c r="D287" s="4">
        <v>100</v>
      </c>
      <c r="E287" s="3" t="s">
        <v>1277</v>
      </c>
      <c r="F287" s="3" t="s">
        <v>33</v>
      </c>
      <c r="G287" s="3" t="s">
        <v>1278</v>
      </c>
      <c r="H287" s="3" t="s">
        <v>264</v>
      </c>
      <c r="I287" s="3" t="s">
        <v>20</v>
      </c>
      <c r="J287" s="3" t="s">
        <v>36</v>
      </c>
      <c r="K287" s="3" t="s">
        <v>1279</v>
      </c>
      <c r="L287" s="3" t="s">
        <v>38</v>
      </c>
      <c r="M287" s="3" t="s">
        <v>512</v>
      </c>
      <c r="N287" s="3" t="s">
        <v>273</v>
      </c>
      <c r="O287" t="str">
        <f>"2026-09-01"</f>
        <v>2026-09-01</v>
      </c>
      <c r="P287" t="str">
        <f>"2027-08-31"</f>
        <v>2027-08-31</v>
      </c>
    </row>
    <row r="288" spans="1:16" x14ac:dyDescent="0.2">
      <c r="A288" t="str" cm="1">
        <f t="array" ref="A288">_xlfn.LET(
    _xlpm.txt, B288,
    _xlpm.chars, MID(_xlpm.txt, _xlfn.SEQUENCE(LEN(_xlpm.txt)), 1),
    _xlpm.filtered, _xlfn._xlws.FILTER(_xlpm.chars, NOT(ISNUMBER(SEARCH(_xlpm.chars, "ABCDEFGHIJKLMNOPQRSTUVWXYZabcdefghijklmnopqrstuvwxyz")))),
    _xlfn.TEXTJOIN("",, _xlpm.filtered)
)</f>
        <v>000480</v>
      </c>
      <c r="B288" s="3" t="s">
        <v>1280</v>
      </c>
      <c r="C288" s="3" t="s">
        <v>1281</v>
      </c>
      <c r="D288" s="4">
        <v>150</v>
      </c>
      <c r="E288" s="3" t="s">
        <v>33</v>
      </c>
      <c r="F288" s="3" t="s">
        <v>33</v>
      </c>
      <c r="G288" s="3" t="s">
        <v>1282</v>
      </c>
      <c r="H288" s="3" t="s">
        <v>202</v>
      </c>
      <c r="I288" s="3" t="s">
        <v>33</v>
      </c>
      <c r="J288" s="3" t="s">
        <v>67</v>
      </c>
      <c r="K288" s="3" t="s">
        <v>37</v>
      </c>
      <c r="L288" s="3" t="s">
        <v>174</v>
      </c>
      <c r="M288" s="3" t="s">
        <v>48</v>
      </c>
      <c r="N288" s="3" t="s">
        <v>25</v>
      </c>
      <c r="O288" t="str">
        <f>"2024-09-01"</f>
        <v>2024-09-01</v>
      </c>
      <c r="P288" t="str">
        <f>"2025-08-31"</f>
        <v>2025-08-31</v>
      </c>
    </row>
    <row r="289" spans="1:16" x14ac:dyDescent="0.2">
      <c r="A289" t="str" cm="1">
        <f t="array" ref="A289">_xlfn.LET(
    _xlpm.txt, B289,
    _xlpm.chars, MID(_xlpm.txt, _xlfn.SEQUENCE(LEN(_xlpm.txt)), 1),
    _xlpm.filtered, _xlfn._xlws.FILTER(_xlpm.chars, NOT(ISNUMBER(SEARCH(_xlpm.chars, "ABCDEFGHIJKLMNOPQRSTUVWXYZabcdefghijklmnopqrstuvwxyz")))),
    _xlfn.TEXTJOIN("",, _xlpm.filtered)
)</f>
        <v>000481</v>
      </c>
      <c r="B289" s="3" t="s">
        <v>1283</v>
      </c>
      <c r="C289" s="3" t="s">
        <v>1234</v>
      </c>
      <c r="D289" s="4">
        <v>500</v>
      </c>
      <c r="E289" s="3" t="s">
        <v>1235</v>
      </c>
      <c r="F289" s="3" t="s">
        <v>1284</v>
      </c>
      <c r="G289" s="3" t="s">
        <v>1285</v>
      </c>
      <c r="H289" s="3" t="s">
        <v>824</v>
      </c>
      <c r="I289" s="3" t="s">
        <v>20</v>
      </c>
      <c r="J289" s="3" t="s">
        <v>1286</v>
      </c>
      <c r="K289" s="3" t="s">
        <v>22</v>
      </c>
      <c r="L289" s="3" t="s">
        <v>38</v>
      </c>
      <c r="M289" s="3" t="s">
        <v>401</v>
      </c>
      <c r="N289" s="3" t="s">
        <v>25</v>
      </c>
      <c r="O289" t="str">
        <f>"2025-07-01"</f>
        <v>2025-07-01</v>
      </c>
      <c r="P289" t="str">
        <f>"2026-06-30"</f>
        <v>2026-06-30</v>
      </c>
    </row>
    <row r="290" spans="1:16" x14ac:dyDescent="0.2">
      <c r="A290" t="str" cm="1">
        <f t="array" ref="A290">_xlfn.LET(
    _xlpm.txt, B290,
    _xlpm.chars, MID(_xlpm.txt, _xlfn.SEQUENCE(LEN(_xlpm.txt)), 1),
    _xlpm.filtered, _xlfn._xlws.FILTER(_xlpm.chars, NOT(ISNUMBER(SEARCH(_xlpm.chars, "ABCDEFGHIJKLMNOPQRSTUVWXYZabcdefghijklmnopqrstuvwxyz")))),
    _xlfn.TEXTJOIN("",, _xlpm.filtered)
)</f>
        <v>000483</v>
      </c>
      <c r="B290" s="3" t="s">
        <v>1287</v>
      </c>
      <c r="C290" s="3" t="s">
        <v>1288</v>
      </c>
      <c r="D290" s="4">
        <v>100</v>
      </c>
      <c r="E290" s="3" t="s">
        <v>1289</v>
      </c>
      <c r="F290" s="3" t="s">
        <v>33</v>
      </c>
      <c r="G290" s="3" t="s">
        <v>1290</v>
      </c>
      <c r="H290" s="3" t="s">
        <v>368</v>
      </c>
      <c r="I290" s="3" t="s">
        <v>33</v>
      </c>
      <c r="J290" s="3" t="s">
        <v>67</v>
      </c>
      <c r="K290" s="3" t="s">
        <v>37</v>
      </c>
      <c r="L290" s="3" t="s">
        <v>174</v>
      </c>
      <c r="M290" s="3" t="s">
        <v>48</v>
      </c>
      <c r="N290" s="3" t="s">
        <v>273</v>
      </c>
      <c r="O290" t="str">
        <f>"2025-08-01"</f>
        <v>2025-08-01</v>
      </c>
      <c r="P290" t="str">
        <f>"2026-07-31"</f>
        <v>2026-07-31</v>
      </c>
    </row>
    <row r="291" spans="1:16" x14ac:dyDescent="0.2">
      <c r="A291" t="str" cm="1">
        <f t="array" ref="A291">_xlfn.LET(
    _xlpm.txt, B291,
    _xlpm.chars, MID(_xlpm.txt, _xlfn.SEQUENCE(LEN(_xlpm.txt)), 1),
    _xlpm.filtered, _xlfn._xlws.FILTER(_xlpm.chars, NOT(ISNUMBER(SEARCH(_xlpm.chars, "ABCDEFGHIJKLMNOPQRSTUVWXYZabcdefghijklmnopqrstuvwxyz")))),
    _xlfn.TEXTJOIN("",, _xlpm.filtered)
)</f>
        <v>000484</v>
      </c>
      <c r="B291" s="3" t="s">
        <v>1291</v>
      </c>
      <c r="C291" s="3" t="s">
        <v>1292</v>
      </c>
      <c r="D291" s="4">
        <v>150</v>
      </c>
      <c r="E291" s="3" t="s">
        <v>1293</v>
      </c>
      <c r="F291" s="3" t="s">
        <v>33</v>
      </c>
      <c r="G291" s="3" t="s">
        <v>1294</v>
      </c>
      <c r="H291" s="3" t="s">
        <v>1295</v>
      </c>
      <c r="I291" s="3" t="s">
        <v>33</v>
      </c>
      <c r="J291" s="3" t="s">
        <v>67</v>
      </c>
      <c r="K291" s="3" t="s">
        <v>46</v>
      </c>
      <c r="L291" s="3" t="s">
        <v>38</v>
      </c>
      <c r="M291" s="3" t="s">
        <v>1170</v>
      </c>
      <c r="N291" s="3" t="s">
        <v>25</v>
      </c>
      <c r="O291" t="str">
        <f>"2025-08-01"</f>
        <v>2025-08-01</v>
      </c>
      <c r="P291" t="str">
        <f>"2026-07-31"</f>
        <v>2026-07-31</v>
      </c>
    </row>
    <row r="292" spans="1:16" x14ac:dyDescent="0.2">
      <c r="A292" t="str" cm="1">
        <f t="array" ref="A292">_xlfn.LET(
    _xlpm.txt, B292,
    _xlpm.chars, MID(_xlpm.txt, _xlfn.SEQUENCE(LEN(_xlpm.txt)), 1),
    _xlpm.filtered, _xlfn._xlws.FILTER(_xlpm.chars, NOT(ISNUMBER(SEARCH(_xlpm.chars, "ABCDEFGHIJKLMNOPQRSTUVWXYZabcdefghijklmnopqrstuvwxyz")))),
    _xlfn.TEXTJOIN("",, _xlpm.filtered)
)</f>
        <v>000485</v>
      </c>
      <c r="B292" s="3" t="s">
        <v>1296</v>
      </c>
      <c r="C292" s="3" t="s">
        <v>1292</v>
      </c>
      <c r="D292" s="4">
        <v>150</v>
      </c>
      <c r="E292" s="3" t="s">
        <v>1293</v>
      </c>
      <c r="F292" s="3" t="s">
        <v>1297</v>
      </c>
      <c r="G292" s="3" t="s">
        <v>1298</v>
      </c>
      <c r="H292" s="3" t="s">
        <v>981</v>
      </c>
      <c r="I292" s="3" t="s">
        <v>33</v>
      </c>
      <c r="J292" s="3" t="s">
        <v>67</v>
      </c>
      <c r="K292" s="3" t="s">
        <v>46</v>
      </c>
      <c r="L292" s="3" t="s">
        <v>38</v>
      </c>
      <c r="M292" s="3" t="s">
        <v>48</v>
      </c>
      <c r="N292" s="3" t="s">
        <v>25</v>
      </c>
      <c r="O292" t="str">
        <f>"2025-01-01"</f>
        <v>2025-01-01</v>
      </c>
      <c r="P292" t="str">
        <f>"2025-12-31"</f>
        <v>2025-12-31</v>
      </c>
    </row>
    <row r="293" spans="1:16" x14ac:dyDescent="0.2">
      <c r="A293" t="str" cm="1">
        <f t="array" ref="A293">_xlfn.LET(
    _xlpm.txt, B293,
    _xlpm.chars, MID(_xlpm.txt, _xlfn.SEQUENCE(LEN(_xlpm.txt)), 1),
    _xlpm.filtered, _xlfn._xlws.FILTER(_xlpm.chars, NOT(ISNUMBER(SEARCH(_xlpm.chars, "ABCDEFGHIJKLMNOPQRSTUVWXYZabcdefghijklmnopqrstuvwxyz")))),
    _xlfn.TEXTJOIN("",, _xlpm.filtered)
)</f>
        <v>000488</v>
      </c>
      <c r="B293" s="3" t="s">
        <v>1299</v>
      </c>
      <c r="C293" s="3" t="s">
        <v>1300</v>
      </c>
      <c r="D293" s="4">
        <v>150</v>
      </c>
      <c r="E293" s="3" t="s">
        <v>1301</v>
      </c>
      <c r="F293" s="3" t="s">
        <v>33</v>
      </c>
      <c r="G293" s="3" t="s">
        <v>1302</v>
      </c>
      <c r="H293" s="3" t="s">
        <v>413</v>
      </c>
      <c r="I293" s="3" t="s">
        <v>33</v>
      </c>
      <c r="J293" s="3" t="s">
        <v>36</v>
      </c>
      <c r="K293" s="3" t="s">
        <v>37</v>
      </c>
      <c r="L293" s="3" t="s">
        <v>38</v>
      </c>
      <c r="M293" s="3" t="s">
        <v>401</v>
      </c>
      <c r="N293" s="3" t="s">
        <v>25</v>
      </c>
      <c r="O293" t="str">
        <f>"2025-05-01"</f>
        <v>2025-05-01</v>
      </c>
      <c r="P293" t="str">
        <f>"2026-04-30"</f>
        <v>2026-04-30</v>
      </c>
    </row>
    <row r="294" spans="1:16" x14ac:dyDescent="0.2">
      <c r="A294" t="str" cm="1">
        <f t="array" ref="A294">_xlfn.LET(
    _xlpm.txt, B294,
    _xlpm.chars, MID(_xlpm.txt, _xlfn.SEQUENCE(LEN(_xlpm.txt)), 1),
    _xlpm.filtered, _xlfn._xlws.FILTER(_xlpm.chars, NOT(ISNUMBER(SEARCH(_xlpm.chars, "ABCDEFGHIJKLMNOPQRSTUVWXYZabcdefghijklmnopqrstuvwxyz")))),
    _xlfn.TEXTJOIN("",, _xlpm.filtered)
)</f>
        <v>000489</v>
      </c>
      <c r="B294" s="3" t="s">
        <v>1303</v>
      </c>
      <c r="C294" s="3" t="s">
        <v>1304</v>
      </c>
      <c r="D294" s="4">
        <v>400</v>
      </c>
      <c r="E294" s="3" t="s">
        <v>65</v>
      </c>
      <c r="F294" s="3" t="s">
        <v>33</v>
      </c>
      <c r="G294" s="3" t="s">
        <v>1305</v>
      </c>
      <c r="H294" s="3" t="s">
        <v>941</v>
      </c>
      <c r="I294" s="3" t="s">
        <v>20</v>
      </c>
      <c r="J294" s="3" t="s">
        <v>36</v>
      </c>
      <c r="K294" s="3" t="s">
        <v>37</v>
      </c>
      <c r="L294" s="3" t="s">
        <v>33</v>
      </c>
      <c r="M294" s="3" t="s">
        <v>48</v>
      </c>
      <c r="N294" s="3" t="s">
        <v>25</v>
      </c>
      <c r="O294" t="str">
        <f>"2024-05-01"</f>
        <v>2024-05-01</v>
      </c>
      <c r="P294" t="str">
        <f>"2025-04-30"</f>
        <v>2025-04-30</v>
      </c>
    </row>
    <row r="295" spans="1:16" x14ac:dyDescent="0.2">
      <c r="A295" t="str" cm="1">
        <f t="array" ref="A295">_xlfn.LET(
    _xlpm.txt, B295,
    _xlpm.chars, MID(_xlpm.txt, _xlfn.SEQUENCE(LEN(_xlpm.txt)), 1),
    _xlpm.filtered, _xlfn._xlws.FILTER(_xlpm.chars, NOT(ISNUMBER(SEARCH(_xlpm.chars, "ABCDEFGHIJKLMNOPQRSTUVWXYZabcdefghijklmnopqrstuvwxyz")))),
    _xlfn.TEXTJOIN("",, _xlpm.filtered)
)</f>
        <v>000490</v>
      </c>
      <c r="B295" s="3" t="s">
        <v>1306</v>
      </c>
      <c r="C295" s="3" t="s">
        <v>1260</v>
      </c>
      <c r="D295" s="4">
        <v>360</v>
      </c>
      <c r="E295" s="3" t="s">
        <v>1307</v>
      </c>
      <c r="F295" s="3" t="s">
        <v>33</v>
      </c>
      <c r="G295" s="3" t="s">
        <v>1308</v>
      </c>
      <c r="H295" s="3" t="s">
        <v>132</v>
      </c>
      <c r="I295" s="3" t="s">
        <v>20</v>
      </c>
      <c r="J295" s="3" t="s">
        <v>119</v>
      </c>
      <c r="K295" s="3" t="s">
        <v>37</v>
      </c>
      <c r="L295" s="3" t="s">
        <v>38</v>
      </c>
      <c r="M295" s="3" t="s">
        <v>24</v>
      </c>
      <c r="N295" s="3" t="s">
        <v>25</v>
      </c>
      <c r="O295" t="str">
        <f>"2025-09-01"</f>
        <v>2025-09-01</v>
      </c>
      <c r="P295" t="str">
        <f>"2026-08-31"</f>
        <v>2026-08-31</v>
      </c>
    </row>
    <row r="296" spans="1:16" x14ac:dyDescent="0.2">
      <c r="A296" t="str" cm="1">
        <f t="array" ref="A296">_xlfn.LET(
    _xlpm.txt, B296,
    _xlpm.chars, MID(_xlpm.txt, _xlfn.SEQUENCE(LEN(_xlpm.txt)), 1),
    _xlpm.filtered, _xlfn._xlws.FILTER(_xlpm.chars, NOT(ISNUMBER(SEARCH(_xlpm.chars, "ABCDEFGHIJKLMNOPQRSTUVWXYZabcdefghijklmnopqrstuvwxyz")))),
    _xlfn.TEXTJOIN("",, _xlpm.filtered)
)</f>
        <v>000491</v>
      </c>
      <c r="B296" s="3" t="s">
        <v>1309</v>
      </c>
      <c r="C296" s="3" t="s">
        <v>1133</v>
      </c>
      <c r="D296" s="4">
        <v>130</v>
      </c>
      <c r="E296" s="3" t="s">
        <v>1134</v>
      </c>
      <c r="F296" s="3" t="s">
        <v>33</v>
      </c>
      <c r="G296" s="3" t="s">
        <v>1310</v>
      </c>
      <c r="H296" s="3" t="s">
        <v>98</v>
      </c>
      <c r="I296" s="3" t="s">
        <v>33</v>
      </c>
      <c r="J296" s="3" t="s">
        <v>67</v>
      </c>
      <c r="K296" s="3" t="s">
        <v>22</v>
      </c>
      <c r="L296" s="3" t="s">
        <v>38</v>
      </c>
      <c r="M296" s="3" t="s">
        <v>48</v>
      </c>
      <c r="N296" s="3" t="s">
        <v>25</v>
      </c>
      <c r="O296" t="str">
        <f>"2025-08-15"</f>
        <v>2025-08-15</v>
      </c>
      <c r="P296" t="str">
        <f>"2026-08-14"</f>
        <v>2026-08-14</v>
      </c>
    </row>
    <row r="297" spans="1:16" x14ac:dyDescent="0.2">
      <c r="A297" t="str" cm="1">
        <f t="array" ref="A297">_xlfn.LET(
    _xlpm.txt, B297,
    _xlpm.chars, MID(_xlpm.txt, _xlfn.SEQUENCE(LEN(_xlpm.txt)), 1),
    _xlpm.filtered, _xlfn._xlws.FILTER(_xlpm.chars, NOT(ISNUMBER(SEARCH(_xlpm.chars, "ABCDEFGHIJKLMNOPQRSTUVWXYZabcdefghijklmnopqrstuvwxyz")))),
    _xlfn.TEXTJOIN("",, _xlpm.filtered)
)</f>
        <v>000492</v>
      </c>
      <c r="B297" s="3" t="s">
        <v>1311</v>
      </c>
      <c r="C297" s="3" t="s">
        <v>1312</v>
      </c>
      <c r="D297" s="4">
        <v>350</v>
      </c>
      <c r="E297" s="3" t="s">
        <v>1313</v>
      </c>
      <c r="F297" s="3" t="s">
        <v>1314</v>
      </c>
      <c r="G297" s="3" t="s">
        <v>1315</v>
      </c>
      <c r="H297" s="3" t="s">
        <v>824</v>
      </c>
      <c r="I297" s="3" t="s">
        <v>550</v>
      </c>
      <c r="J297" s="3" t="s">
        <v>214</v>
      </c>
      <c r="K297" s="3" t="s">
        <v>1316</v>
      </c>
      <c r="L297" s="3" t="s">
        <v>38</v>
      </c>
      <c r="M297" s="3" t="s">
        <v>1317</v>
      </c>
      <c r="N297" s="3" t="s">
        <v>25</v>
      </c>
      <c r="O297" t="str">
        <f>"2025-09-01"</f>
        <v>2025-09-01</v>
      </c>
      <c r="P297" t="str">
        <f>"2026-08-31"</f>
        <v>2026-08-31</v>
      </c>
    </row>
    <row r="298" spans="1:16" x14ac:dyDescent="0.2">
      <c r="A298" t="str" cm="1">
        <f t="array" ref="A298">_xlfn.LET(
    _xlpm.txt, B298,
    _xlpm.chars, MID(_xlpm.txt, _xlfn.SEQUENCE(LEN(_xlpm.txt)), 1),
    _xlpm.filtered, _xlfn._xlws.FILTER(_xlpm.chars, NOT(ISNUMBER(SEARCH(_xlpm.chars, "ABCDEFGHIJKLMNOPQRSTUVWXYZabcdefghijklmnopqrstuvwxyz")))),
    _xlfn.TEXTJOIN("",, _xlpm.filtered)
)</f>
        <v>000494</v>
      </c>
      <c r="B298" s="3" t="s">
        <v>1318</v>
      </c>
      <c r="C298" s="3" t="s">
        <v>1319</v>
      </c>
      <c r="D298" s="4">
        <v>150</v>
      </c>
      <c r="E298" s="3" t="s">
        <v>628</v>
      </c>
      <c r="F298" s="3" t="s">
        <v>33</v>
      </c>
      <c r="G298" s="3" t="s">
        <v>1320</v>
      </c>
      <c r="H298" s="3" t="s">
        <v>202</v>
      </c>
      <c r="I298" s="3" t="s">
        <v>33</v>
      </c>
      <c r="J298" s="3" t="s">
        <v>36</v>
      </c>
      <c r="K298" s="3" t="s">
        <v>37</v>
      </c>
      <c r="L298" s="3" t="s">
        <v>174</v>
      </c>
      <c r="M298" s="3" t="s">
        <v>24</v>
      </c>
      <c r="N298" s="3" t="s">
        <v>25</v>
      </c>
      <c r="O298" t="str">
        <f>"2024-09-01"</f>
        <v>2024-09-01</v>
      </c>
      <c r="P298" t="str">
        <f>"2025-08-31"</f>
        <v>2025-08-31</v>
      </c>
    </row>
    <row r="299" spans="1:16" x14ac:dyDescent="0.2">
      <c r="A299" t="str" cm="1">
        <f t="array" ref="A299">_xlfn.LET(
    _xlpm.txt, B299,
    _xlpm.chars, MID(_xlpm.txt, _xlfn.SEQUENCE(LEN(_xlpm.txt)), 1),
    _xlpm.filtered, _xlfn._xlws.FILTER(_xlpm.chars, NOT(ISNUMBER(SEARCH(_xlpm.chars, "ABCDEFGHIJKLMNOPQRSTUVWXYZabcdefghijklmnopqrstuvwxyz")))),
    _xlfn.TEXTJOIN("",, _xlpm.filtered)
)</f>
        <v>000496</v>
      </c>
      <c r="B299" s="3" t="s">
        <v>1321</v>
      </c>
      <c r="C299" s="3" t="s">
        <v>1322</v>
      </c>
      <c r="D299" s="4">
        <v>150</v>
      </c>
      <c r="E299" s="3" t="s">
        <v>839</v>
      </c>
      <c r="F299" s="3" t="s">
        <v>33</v>
      </c>
      <c r="G299" s="3" t="s">
        <v>1323</v>
      </c>
      <c r="H299" s="3" t="s">
        <v>1256</v>
      </c>
      <c r="I299" s="3" t="s">
        <v>33</v>
      </c>
      <c r="J299" s="3" t="s">
        <v>36</v>
      </c>
      <c r="K299" s="3" t="s">
        <v>37</v>
      </c>
      <c r="L299" s="3" t="s">
        <v>38</v>
      </c>
      <c r="M299" s="3" t="s">
        <v>48</v>
      </c>
      <c r="N299" s="3" t="s">
        <v>25</v>
      </c>
      <c r="O299" t="str">
        <f>"2025-10-01"</f>
        <v>2025-10-01</v>
      </c>
      <c r="P299" t="str">
        <f>"2026-09-30"</f>
        <v>2026-09-30</v>
      </c>
    </row>
    <row r="300" spans="1:16" x14ac:dyDescent="0.2">
      <c r="A300" t="str" cm="1">
        <f t="array" ref="A300">_xlfn.LET(
    _xlpm.txt, B300,
    _xlpm.chars, MID(_xlpm.txt, _xlfn.SEQUENCE(LEN(_xlpm.txt)), 1),
    _xlpm.filtered, _xlfn._xlws.FILTER(_xlpm.chars, NOT(ISNUMBER(SEARCH(_xlpm.chars, "ABCDEFGHIJKLMNOPQRSTUVWXYZabcdefghijklmnopqrstuvwxyz")))),
    _xlfn.TEXTJOIN("",, _xlpm.filtered)
)</f>
        <v>000498</v>
      </c>
      <c r="B300" s="3" t="s">
        <v>1324</v>
      </c>
      <c r="C300" s="3" t="s">
        <v>1129</v>
      </c>
      <c r="D300" s="4">
        <v>675</v>
      </c>
      <c r="E300" s="3" t="s">
        <v>1126</v>
      </c>
      <c r="F300" s="3" t="s">
        <v>33</v>
      </c>
      <c r="G300" s="3" t="s">
        <v>1325</v>
      </c>
      <c r="H300" s="3" t="s">
        <v>44</v>
      </c>
      <c r="I300" s="3" t="s">
        <v>33</v>
      </c>
      <c r="J300" s="3" t="s">
        <v>511</v>
      </c>
      <c r="K300" s="3" t="s">
        <v>33</v>
      </c>
      <c r="L300" s="3" t="s">
        <v>296</v>
      </c>
      <c r="M300" s="3" t="s">
        <v>33</v>
      </c>
      <c r="N300" s="3" t="s">
        <v>273</v>
      </c>
      <c r="O300" t="str">
        <f>"2024-09-01"</f>
        <v>2024-09-01</v>
      </c>
      <c r="P300" t="str">
        <f>"2027-08-31"</f>
        <v>2027-08-31</v>
      </c>
    </row>
    <row r="301" spans="1:16" x14ac:dyDescent="0.2">
      <c r="A301" t="str" cm="1">
        <f t="array" ref="A301">_xlfn.LET(
    _xlpm.txt, B301,
    _xlpm.chars, MID(_xlpm.txt, _xlfn.SEQUENCE(LEN(_xlpm.txt)), 1),
    _xlpm.filtered, _xlfn._xlws.FILTER(_xlpm.chars, NOT(ISNUMBER(SEARCH(_xlpm.chars, "ABCDEFGHIJKLMNOPQRSTUVWXYZabcdefghijklmnopqrstuvwxyz")))),
    _xlfn.TEXTJOIN("",, _xlpm.filtered)
)</f>
        <v>000499</v>
      </c>
      <c r="B301" s="3" t="s">
        <v>1326</v>
      </c>
      <c r="C301" s="3" t="s">
        <v>1129</v>
      </c>
      <c r="D301" s="4">
        <v>675</v>
      </c>
      <c r="E301" s="3" t="s">
        <v>1126</v>
      </c>
      <c r="F301" s="3" t="s">
        <v>33</v>
      </c>
      <c r="G301" s="3" t="s">
        <v>1327</v>
      </c>
      <c r="H301" s="3" t="s">
        <v>487</v>
      </c>
      <c r="I301" s="3" t="s">
        <v>33</v>
      </c>
      <c r="J301" s="3" t="s">
        <v>511</v>
      </c>
      <c r="K301" s="3" t="s">
        <v>33</v>
      </c>
      <c r="L301" s="3" t="s">
        <v>38</v>
      </c>
      <c r="M301" s="3" t="s">
        <v>33</v>
      </c>
      <c r="N301" s="3" t="s">
        <v>33</v>
      </c>
      <c r="O301" t="str">
        <f>"2024-09-01"</f>
        <v>2024-09-01</v>
      </c>
      <c r="P301" t="str">
        <f>"2027-08-31"</f>
        <v>2027-08-31</v>
      </c>
    </row>
    <row r="302" spans="1:16" x14ac:dyDescent="0.2">
      <c r="A302" t="str" cm="1">
        <f t="array" ref="A302">_xlfn.LET(
    _xlpm.txt, B302,
    _xlpm.chars, MID(_xlpm.txt, _xlfn.SEQUENCE(LEN(_xlpm.txt)), 1),
    _xlpm.filtered, _xlfn._xlws.FILTER(_xlpm.chars, NOT(ISNUMBER(SEARCH(_xlpm.chars, "ABCDEFGHIJKLMNOPQRSTUVWXYZabcdefghijklmnopqrstuvwxyz")))),
    _xlfn.TEXTJOIN("",, _xlpm.filtered)
)</f>
        <v>000500</v>
      </c>
      <c r="B302" s="3" t="s">
        <v>1328</v>
      </c>
      <c r="C302" s="3" t="s">
        <v>1129</v>
      </c>
      <c r="D302" s="4">
        <v>675</v>
      </c>
      <c r="E302" s="3" t="s">
        <v>1126</v>
      </c>
      <c r="F302" s="3" t="s">
        <v>33</v>
      </c>
      <c r="G302" s="3" t="s">
        <v>1329</v>
      </c>
      <c r="H302" s="3" t="s">
        <v>363</v>
      </c>
      <c r="I302" s="3" t="s">
        <v>33</v>
      </c>
      <c r="J302" s="3" t="s">
        <v>511</v>
      </c>
      <c r="K302" s="3" t="s">
        <v>33</v>
      </c>
      <c r="L302" s="3" t="s">
        <v>33</v>
      </c>
      <c r="M302" s="3" t="s">
        <v>33</v>
      </c>
      <c r="N302" s="3" t="s">
        <v>33</v>
      </c>
      <c r="O302" t="str">
        <f>"2024-09-01"</f>
        <v>2024-09-01</v>
      </c>
      <c r="P302" t="str">
        <f>"2027-08-31"</f>
        <v>2027-08-31</v>
      </c>
    </row>
    <row r="303" spans="1:16" x14ac:dyDescent="0.2">
      <c r="A303" t="str" cm="1">
        <f t="array" ref="A303">_xlfn.LET(
    _xlpm.txt, B303,
    _xlpm.chars, MID(_xlpm.txt, _xlfn.SEQUENCE(LEN(_xlpm.txt)), 1),
    _xlpm.filtered, _xlfn._xlws.FILTER(_xlpm.chars, NOT(ISNUMBER(SEARCH(_xlpm.chars, "ABCDEFGHIJKLMNOPQRSTUVWXYZabcdefghijklmnopqrstuvwxyz")))),
    _xlfn.TEXTJOIN("",, _xlpm.filtered)
)</f>
        <v>000501</v>
      </c>
      <c r="B303" s="3" t="s">
        <v>1330</v>
      </c>
      <c r="C303" s="3" t="s">
        <v>1129</v>
      </c>
      <c r="D303" s="4">
        <v>675</v>
      </c>
      <c r="E303" s="3" t="s">
        <v>1126</v>
      </c>
      <c r="F303" s="3" t="s">
        <v>33</v>
      </c>
      <c r="G303" s="3" t="s">
        <v>1331</v>
      </c>
      <c r="H303" s="3" t="s">
        <v>941</v>
      </c>
      <c r="I303" s="3" t="s">
        <v>33</v>
      </c>
      <c r="J303" s="3" t="s">
        <v>511</v>
      </c>
      <c r="K303" s="3" t="s">
        <v>33</v>
      </c>
      <c r="L303" s="3" t="s">
        <v>38</v>
      </c>
      <c r="M303" s="3" t="s">
        <v>33</v>
      </c>
      <c r="N303" s="3" t="s">
        <v>33</v>
      </c>
      <c r="O303" t="str">
        <f>"2024-09-01"</f>
        <v>2024-09-01</v>
      </c>
      <c r="P303" t="str">
        <f>"2027-08-31"</f>
        <v>2027-08-31</v>
      </c>
    </row>
    <row r="304" spans="1:16" x14ac:dyDescent="0.2">
      <c r="A304" t="str" cm="1">
        <f t="array" ref="A304">_xlfn.LET(
    _xlpm.txt, B304,
    _xlpm.chars, MID(_xlpm.txt, _xlfn.SEQUENCE(LEN(_xlpm.txt)), 1),
    _xlpm.filtered, _xlfn._xlws.FILTER(_xlpm.chars, NOT(ISNUMBER(SEARCH(_xlpm.chars, "ABCDEFGHIJKLMNOPQRSTUVWXYZabcdefghijklmnopqrstuvwxyz")))),
    _xlfn.TEXTJOIN("",, _xlpm.filtered)
)</f>
        <v>000504</v>
      </c>
      <c r="B304" s="3" t="s">
        <v>1332</v>
      </c>
      <c r="C304" s="3" t="s">
        <v>1133</v>
      </c>
      <c r="D304" s="4">
        <v>150</v>
      </c>
      <c r="E304" s="3" t="s">
        <v>1134</v>
      </c>
      <c r="F304" s="3" t="s">
        <v>33</v>
      </c>
      <c r="G304" s="3" t="s">
        <v>1333</v>
      </c>
      <c r="H304" s="3" t="s">
        <v>623</v>
      </c>
      <c r="I304" s="3" t="s">
        <v>20</v>
      </c>
      <c r="J304" s="3" t="s">
        <v>36</v>
      </c>
      <c r="K304" s="3" t="s">
        <v>37</v>
      </c>
      <c r="L304" s="3" t="s">
        <v>38</v>
      </c>
      <c r="M304" s="3" t="s">
        <v>87</v>
      </c>
      <c r="N304" s="3" t="s">
        <v>25</v>
      </c>
      <c r="O304" t="str">
        <f>"2024-11-01"</f>
        <v>2024-11-01</v>
      </c>
      <c r="P304" t="str">
        <f>"2025-10-31"</f>
        <v>2025-10-31</v>
      </c>
    </row>
    <row r="305" spans="1:16" x14ac:dyDescent="0.2">
      <c r="A305" t="str" cm="1">
        <f t="array" ref="A305">_xlfn.LET(
    _xlpm.txt, B305,
    _xlpm.chars, MID(_xlpm.txt, _xlfn.SEQUENCE(LEN(_xlpm.txt)), 1),
    _xlpm.filtered, _xlfn._xlws.FILTER(_xlpm.chars, NOT(ISNUMBER(SEARCH(_xlpm.chars, "ABCDEFGHIJKLMNOPQRSTUVWXYZabcdefghijklmnopqrstuvwxyz")))),
    _xlfn.TEXTJOIN("",, _xlpm.filtered)
)</f>
        <v>000505</v>
      </c>
      <c r="B305" s="3" t="s">
        <v>1334</v>
      </c>
      <c r="C305" s="3" t="s">
        <v>1335</v>
      </c>
      <c r="D305" s="4">
        <v>150</v>
      </c>
      <c r="E305" s="3" t="s">
        <v>56</v>
      </c>
      <c r="F305" s="3" t="s">
        <v>33</v>
      </c>
      <c r="G305" s="3" t="s">
        <v>1336</v>
      </c>
      <c r="H305" s="3" t="s">
        <v>105</v>
      </c>
      <c r="I305" s="3" t="s">
        <v>33</v>
      </c>
      <c r="J305" s="3" t="s">
        <v>67</v>
      </c>
      <c r="K305" s="3" t="s">
        <v>22</v>
      </c>
      <c r="L305" s="3" t="s">
        <v>38</v>
      </c>
      <c r="M305" s="3" t="s">
        <v>24</v>
      </c>
      <c r="N305" s="3" t="s">
        <v>25</v>
      </c>
      <c r="O305" t="str">
        <f>"2025-01-01"</f>
        <v>2025-01-01</v>
      </c>
      <c r="P305" t="str">
        <f>"2025-12-31"</f>
        <v>2025-12-31</v>
      </c>
    </row>
    <row r="306" spans="1:16" x14ac:dyDescent="0.2">
      <c r="A306" t="str" cm="1">
        <f t="array" ref="A306">_xlfn.LET(
    _xlpm.txt, B306,
    _xlpm.chars, MID(_xlpm.txt, _xlfn.SEQUENCE(LEN(_xlpm.txt)), 1),
    _xlpm.filtered, _xlfn._xlws.FILTER(_xlpm.chars, NOT(ISNUMBER(SEARCH(_xlpm.chars, "ABCDEFGHIJKLMNOPQRSTUVWXYZabcdefghijklmnopqrstuvwxyz")))),
    _xlfn.TEXTJOIN("",, _xlpm.filtered)
)</f>
        <v>000507</v>
      </c>
      <c r="B306" s="3" t="s">
        <v>1337</v>
      </c>
      <c r="C306" s="3" t="s">
        <v>1218</v>
      </c>
      <c r="D306" s="4">
        <v>1200</v>
      </c>
      <c r="E306" s="3" t="s">
        <v>1219</v>
      </c>
      <c r="F306" s="3" t="s">
        <v>1338</v>
      </c>
      <c r="G306" s="3" t="s">
        <v>1339</v>
      </c>
      <c r="H306" s="3" t="s">
        <v>132</v>
      </c>
      <c r="I306" s="3" t="s">
        <v>20</v>
      </c>
      <c r="J306" s="3" t="s">
        <v>229</v>
      </c>
      <c r="K306" s="3" t="s">
        <v>499</v>
      </c>
      <c r="L306" s="3" t="s">
        <v>499</v>
      </c>
      <c r="M306" s="3" t="s">
        <v>499</v>
      </c>
      <c r="N306" s="3" t="s">
        <v>25</v>
      </c>
      <c r="O306" t="str">
        <f>"2025-01-01"</f>
        <v>2025-01-01</v>
      </c>
      <c r="P306" t="str">
        <f>"2026-12-31"</f>
        <v>2026-12-31</v>
      </c>
    </row>
    <row r="307" spans="1:16" x14ac:dyDescent="0.2">
      <c r="A307" t="str" cm="1">
        <f t="array" ref="A307">_xlfn.LET(
    _xlpm.txt, B307,
    _xlpm.chars, MID(_xlpm.txt, _xlfn.SEQUENCE(LEN(_xlpm.txt)), 1),
    _xlpm.filtered, _xlfn._xlws.FILTER(_xlpm.chars, NOT(ISNUMBER(SEARCH(_xlpm.chars, "ABCDEFGHIJKLMNOPQRSTUVWXYZabcdefghijklmnopqrstuvwxyz")))),
    _xlfn.TEXTJOIN("",, _xlpm.filtered)
)</f>
        <v>000508</v>
      </c>
      <c r="B307" s="3" t="s">
        <v>1340</v>
      </c>
      <c r="C307" s="3" t="s">
        <v>1218</v>
      </c>
      <c r="D307" s="4">
        <v>1200</v>
      </c>
      <c r="E307" s="3" t="s">
        <v>1219</v>
      </c>
      <c r="F307" s="3" t="s">
        <v>1341</v>
      </c>
      <c r="G307" s="3" t="s">
        <v>1342</v>
      </c>
      <c r="H307" s="3" t="s">
        <v>132</v>
      </c>
      <c r="I307" s="3" t="s">
        <v>20</v>
      </c>
      <c r="J307" s="3" t="s">
        <v>229</v>
      </c>
      <c r="K307" s="3" t="s">
        <v>499</v>
      </c>
      <c r="L307" s="3" t="s">
        <v>499</v>
      </c>
      <c r="M307" s="3" t="s">
        <v>499</v>
      </c>
      <c r="N307" s="3" t="s">
        <v>25</v>
      </c>
      <c r="O307" t="str">
        <f>"2025-01-01"</f>
        <v>2025-01-01</v>
      </c>
      <c r="P307" t="str">
        <f>"2026-12-31"</f>
        <v>2026-12-31</v>
      </c>
    </row>
    <row r="308" spans="1:16" x14ac:dyDescent="0.2">
      <c r="A308" t="str" cm="1">
        <f t="array" ref="A308">_xlfn.LET(
    _xlpm.txt, B308,
    _xlpm.chars, MID(_xlpm.txt, _xlfn.SEQUENCE(LEN(_xlpm.txt)), 1),
    _xlpm.filtered, _xlfn._xlws.FILTER(_xlpm.chars, NOT(ISNUMBER(SEARCH(_xlpm.chars, "ABCDEFGHIJKLMNOPQRSTUVWXYZabcdefghijklmnopqrstuvwxyz")))),
    _xlfn.TEXTJOIN("",, _xlpm.filtered)
)</f>
        <v>000509</v>
      </c>
      <c r="B308" s="3" t="s">
        <v>1343</v>
      </c>
      <c r="C308" s="3" t="s">
        <v>1152</v>
      </c>
      <c r="D308" s="4">
        <v>330</v>
      </c>
      <c r="E308" s="3" t="s">
        <v>1344</v>
      </c>
      <c r="F308" s="3" t="s">
        <v>33</v>
      </c>
      <c r="G308" s="3" t="s">
        <v>1345</v>
      </c>
      <c r="H308" s="3" t="s">
        <v>132</v>
      </c>
      <c r="I308" s="3" t="s">
        <v>33</v>
      </c>
      <c r="J308" s="3" t="s">
        <v>229</v>
      </c>
      <c r="K308" s="3" t="s">
        <v>33</v>
      </c>
      <c r="L308" s="3" t="s">
        <v>138</v>
      </c>
      <c r="M308" s="3" t="s">
        <v>33</v>
      </c>
      <c r="N308" s="3" t="s">
        <v>25</v>
      </c>
      <c r="O308" t="str">
        <f>"2024-12-01"</f>
        <v>2024-12-01</v>
      </c>
      <c r="P308" t="str">
        <f>"2025-11-30"</f>
        <v>2025-11-30</v>
      </c>
    </row>
    <row r="309" spans="1:16" x14ac:dyDescent="0.2">
      <c r="A309" t="str" cm="1">
        <f t="array" ref="A309">_xlfn.LET(
    _xlpm.txt, B309,
    _xlpm.chars, MID(_xlpm.txt, _xlfn.SEQUENCE(LEN(_xlpm.txt)), 1),
    _xlpm.filtered, _xlfn._xlws.FILTER(_xlpm.chars, NOT(ISNUMBER(SEARCH(_xlpm.chars, "ABCDEFGHIJKLMNOPQRSTUVWXYZabcdefghijklmnopqrstuvwxyz")))),
    _xlfn.TEXTJOIN("",, _xlpm.filtered)
)</f>
        <v>000510</v>
      </c>
      <c r="B309" s="3" t="s">
        <v>1346</v>
      </c>
      <c r="C309" s="3" t="s">
        <v>1347</v>
      </c>
      <c r="D309" s="4">
        <v>150</v>
      </c>
      <c r="E309" s="3" t="s">
        <v>33</v>
      </c>
      <c r="F309" s="3" t="s">
        <v>33</v>
      </c>
      <c r="G309" s="3" t="s">
        <v>1348</v>
      </c>
      <c r="H309" s="3" t="s">
        <v>368</v>
      </c>
      <c r="I309" s="3" t="s">
        <v>33</v>
      </c>
      <c r="J309" s="3" t="s">
        <v>85</v>
      </c>
      <c r="K309" s="3" t="s">
        <v>350</v>
      </c>
      <c r="L309" s="3" t="s">
        <v>1349</v>
      </c>
      <c r="M309" s="3" t="s">
        <v>144</v>
      </c>
      <c r="N309" s="3" t="s">
        <v>25</v>
      </c>
      <c r="O309" t="str">
        <f>"2024-12-15"</f>
        <v>2024-12-15</v>
      </c>
      <c r="P309" t="str">
        <f>"2025-12-14"</f>
        <v>2025-12-14</v>
      </c>
    </row>
    <row r="310" spans="1:16" x14ac:dyDescent="0.2">
      <c r="A310" t="str" cm="1">
        <f t="array" ref="A310">_xlfn.LET(
    _xlpm.txt, B310,
    _xlpm.chars, MID(_xlpm.txt, _xlfn.SEQUENCE(LEN(_xlpm.txt)), 1),
    _xlpm.filtered, _xlfn._xlws.FILTER(_xlpm.chars, NOT(ISNUMBER(SEARCH(_xlpm.chars, "ABCDEFGHIJKLMNOPQRSTUVWXYZabcdefghijklmnopqrstuvwxyz")))),
    _xlfn.TEXTJOIN("",, _xlpm.filtered)
)</f>
        <v>000511</v>
      </c>
      <c r="B310" s="3" t="s">
        <v>1350</v>
      </c>
      <c r="C310" s="3" t="s">
        <v>1351</v>
      </c>
      <c r="D310" s="4">
        <v>350</v>
      </c>
      <c r="E310" s="3" t="s">
        <v>1352</v>
      </c>
      <c r="F310" s="3" t="s">
        <v>1353</v>
      </c>
      <c r="G310" s="3" t="s">
        <v>1354</v>
      </c>
      <c r="H310" s="3" t="s">
        <v>84</v>
      </c>
      <c r="I310" s="3" t="s">
        <v>33</v>
      </c>
      <c r="J310" s="3" t="s">
        <v>119</v>
      </c>
      <c r="K310" s="3" t="s">
        <v>37</v>
      </c>
      <c r="L310" s="3" t="s">
        <v>138</v>
      </c>
      <c r="M310" s="3" t="s">
        <v>1356</v>
      </c>
      <c r="N310" s="3" t="s">
        <v>25</v>
      </c>
      <c r="O310" t="str">
        <f>"2025-03-01"</f>
        <v>2025-03-01</v>
      </c>
      <c r="P310" t="str">
        <f>"2026-02-28"</f>
        <v>2026-02-28</v>
      </c>
    </row>
    <row r="311" spans="1:16" x14ac:dyDescent="0.2">
      <c r="A311" t="str" cm="1">
        <f t="array" ref="A311">_xlfn.LET(
    _xlpm.txt, B311,
    _xlpm.chars, MID(_xlpm.txt, _xlfn.SEQUENCE(LEN(_xlpm.txt)), 1),
    _xlpm.filtered, _xlfn._xlws.FILTER(_xlpm.chars, NOT(ISNUMBER(SEARCH(_xlpm.chars, "ABCDEFGHIJKLMNOPQRSTUVWXYZabcdefghijklmnopqrstuvwxyz")))),
    _xlfn.TEXTJOIN("",, _xlpm.filtered)
)</f>
        <v>000512</v>
      </c>
      <c r="B311" s="3" t="s">
        <v>1357</v>
      </c>
      <c r="C311" s="3" t="s">
        <v>1351</v>
      </c>
      <c r="D311" s="4">
        <v>350</v>
      </c>
      <c r="E311" s="3" t="s">
        <v>1352</v>
      </c>
      <c r="F311" s="3" t="s">
        <v>1358</v>
      </c>
      <c r="G311" s="3" t="s">
        <v>1359</v>
      </c>
      <c r="H311" s="3" t="s">
        <v>824</v>
      </c>
      <c r="I311" s="3" t="s">
        <v>20</v>
      </c>
      <c r="J311" s="3" t="s">
        <v>119</v>
      </c>
      <c r="K311" s="3" t="s">
        <v>37</v>
      </c>
      <c r="L311" s="3" t="s">
        <v>138</v>
      </c>
      <c r="M311" s="3" t="s">
        <v>87</v>
      </c>
      <c r="N311" s="3" t="s">
        <v>25</v>
      </c>
      <c r="O311" t="str">
        <f>"2025-03-01"</f>
        <v>2025-03-01</v>
      </c>
      <c r="P311" t="str">
        <f>"2026-02-28"</f>
        <v>2026-02-28</v>
      </c>
    </row>
    <row r="312" spans="1:16" x14ac:dyDescent="0.2">
      <c r="A312" t="str" cm="1">
        <f t="array" ref="A312">_xlfn.LET(
    _xlpm.txt, B312,
    _xlpm.chars, MID(_xlpm.txt, _xlfn.SEQUENCE(LEN(_xlpm.txt)), 1),
    _xlpm.filtered, _xlfn._xlws.FILTER(_xlpm.chars, NOT(ISNUMBER(SEARCH(_xlpm.chars, "ABCDEFGHIJKLMNOPQRSTUVWXYZabcdefghijklmnopqrstuvwxyz")))),
    _xlfn.TEXTJOIN("",, _xlpm.filtered)
)</f>
        <v>000513</v>
      </c>
      <c r="B312" s="3" t="s">
        <v>1360</v>
      </c>
      <c r="C312" s="3" t="s">
        <v>1361</v>
      </c>
      <c r="D312" s="4">
        <v>150</v>
      </c>
      <c r="E312" s="3" t="s">
        <v>1362</v>
      </c>
      <c r="F312" s="3" t="s">
        <v>33</v>
      </c>
      <c r="G312" s="3" t="s">
        <v>1363</v>
      </c>
      <c r="H312" s="3" t="s">
        <v>945</v>
      </c>
      <c r="I312" s="3" t="s">
        <v>20</v>
      </c>
      <c r="J312" s="3" t="s">
        <v>67</v>
      </c>
      <c r="K312" s="3" t="s">
        <v>37</v>
      </c>
      <c r="L312" s="3" t="s">
        <v>38</v>
      </c>
      <c r="M312" s="3" t="s">
        <v>1206</v>
      </c>
      <c r="N312" s="3" t="s">
        <v>25</v>
      </c>
      <c r="O312" t="str">
        <f>"2024-12-20"</f>
        <v>2024-12-20</v>
      </c>
      <c r="P312" t="str">
        <f>"2025-12-19"</f>
        <v>2025-12-19</v>
      </c>
    </row>
    <row r="313" spans="1:16" x14ac:dyDescent="0.2">
      <c r="A313" t="str" cm="1">
        <f t="array" ref="A313">_xlfn.LET(
    _xlpm.txt, B313,
    _xlpm.chars, MID(_xlpm.txt, _xlfn.SEQUENCE(LEN(_xlpm.txt)), 1),
    _xlpm.filtered, _xlfn._xlws.FILTER(_xlpm.chars, NOT(ISNUMBER(SEARCH(_xlpm.chars, "ABCDEFGHIJKLMNOPQRSTUVWXYZabcdefghijklmnopqrstuvwxyz")))),
    _xlfn.TEXTJOIN("",, _xlpm.filtered)
)</f>
        <v>000514</v>
      </c>
      <c r="B313" s="3" t="s">
        <v>1364</v>
      </c>
      <c r="C313" s="3" t="s">
        <v>1365</v>
      </c>
      <c r="D313" s="4">
        <v>180</v>
      </c>
      <c r="E313" s="3" t="s">
        <v>1366</v>
      </c>
      <c r="F313" s="3" t="s">
        <v>1366</v>
      </c>
      <c r="G313" s="3" t="s">
        <v>1367</v>
      </c>
      <c r="H313" s="3" t="s">
        <v>213</v>
      </c>
      <c r="I313" s="3" t="s">
        <v>20</v>
      </c>
      <c r="J313" s="3" t="s">
        <v>60</v>
      </c>
      <c r="K313" s="3" t="s">
        <v>37</v>
      </c>
      <c r="L313" s="3" t="s">
        <v>38</v>
      </c>
      <c r="M313" s="3" t="s">
        <v>144</v>
      </c>
      <c r="N313" s="3" t="s">
        <v>25</v>
      </c>
      <c r="O313" t="str">
        <f>"2025-01-01"</f>
        <v>2025-01-01</v>
      </c>
      <c r="P313" t="str">
        <f>"2025-12-31"</f>
        <v>2025-12-31</v>
      </c>
    </row>
    <row r="314" spans="1:16" x14ac:dyDescent="0.2">
      <c r="A314" t="str" cm="1">
        <f t="array" ref="A314">_xlfn.LET(
    _xlpm.txt, B314,
    _xlpm.chars, MID(_xlpm.txt, _xlfn.SEQUENCE(LEN(_xlpm.txt)), 1),
    _xlpm.filtered, _xlfn._xlws.FILTER(_xlpm.chars, NOT(ISNUMBER(SEARCH(_xlpm.chars, "ABCDEFGHIJKLMNOPQRSTUVWXYZabcdefghijklmnopqrstuvwxyz")))),
    _xlfn.TEXTJOIN("",, _xlpm.filtered)
)</f>
        <v>000515</v>
      </c>
      <c r="B314" s="3" t="s">
        <v>1368</v>
      </c>
      <c r="C314" s="3" t="s">
        <v>187</v>
      </c>
      <c r="D314" s="4">
        <v>680</v>
      </c>
      <c r="E314" s="3" t="s">
        <v>188</v>
      </c>
      <c r="F314" s="3" t="s">
        <v>1369</v>
      </c>
      <c r="G314" s="3" t="s">
        <v>1370</v>
      </c>
      <c r="H314" s="3" t="s">
        <v>84</v>
      </c>
      <c r="I314" s="3" t="s">
        <v>20</v>
      </c>
      <c r="J314" s="3" t="s">
        <v>119</v>
      </c>
      <c r="K314" s="3" t="s">
        <v>22</v>
      </c>
      <c r="L314" s="3" t="s">
        <v>350</v>
      </c>
      <c r="M314" s="3" t="s">
        <v>144</v>
      </c>
      <c r="N314" s="3" t="s">
        <v>25</v>
      </c>
      <c r="O314" t="str">
        <f>"2025-01-01"</f>
        <v>2025-01-01</v>
      </c>
      <c r="P314" t="str">
        <f>"2026-12-31"</f>
        <v>2026-12-31</v>
      </c>
    </row>
    <row r="315" spans="1:16" x14ac:dyDescent="0.2">
      <c r="A315" t="str" cm="1">
        <f t="array" ref="A315">_xlfn.LET(
    _xlpm.txt, B315,
    _xlpm.chars, MID(_xlpm.txt, _xlfn.SEQUENCE(LEN(_xlpm.txt)), 1),
    _xlpm.filtered, _xlfn._xlws.FILTER(_xlpm.chars, NOT(ISNUMBER(SEARCH(_xlpm.chars, "ABCDEFGHIJKLMNOPQRSTUVWXYZabcdefghijklmnopqrstuvwxyz")))),
    _xlfn.TEXTJOIN("",, _xlpm.filtered)
)</f>
        <v>000516</v>
      </c>
      <c r="B315" s="3" t="s">
        <v>1371</v>
      </c>
      <c r="C315" s="3" t="s">
        <v>1140</v>
      </c>
      <c r="D315" s="4">
        <v>4100</v>
      </c>
      <c r="E315" s="3" t="s">
        <v>1372</v>
      </c>
      <c r="F315" s="3" t="s">
        <v>33</v>
      </c>
      <c r="G315" s="3" t="s">
        <v>1373</v>
      </c>
      <c r="H315" s="3" t="s">
        <v>270</v>
      </c>
      <c r="I315" s="3" t="s">
        <v>20</v>
      </c>
      <c r="J315" s="3" t="s">
        <v>67</v>
      </c>
      <c r="K315" s="3" t="s">
        <v>295</v>
      </c>
      <c r="L315" s="3" t="s">
        <v>296</v>
      </c>
      <c r="M315" s="3" t="s">
        <v>297</v>
      </c>
      <c r="N315" s="3" t="s">
        <v>33</v>
      </c>
      <c r="O315" t="str">
        <f>"2025-01-01"</f>
        <v>2025-01-01</v>
      </c>
      <c r="P315" t="str">
        <f>"2025-12-31"</f>
        <v>2025-12-31</v>
      </c>
    </row>
    <row r="316" spans="1:16" x14ac:dyDescent="0.2">
      <c r="A316" t="str" cm="1">
        <f t="array" ref="A316">_xlfn.LET(
    _xlpm.txt, B316,
    _xlpm.chars, MID(_xlpm.txt, _xlfn.SEQUENCE(LEN(_xlpm.txt)), 1),
    _xlpm.filtered, _xlfn._xlws.FILTER(_xlpm.chars, NOT(ISNUMBER(SEARCH(_xlpm.chars, "ABCDEFGHIJKLMNOPQRSTUVWXYZabcdefghijklmnopqrstuvwxyz")))),
    _xlfn.TEXTJOIN("",, _xlpm.filtered)
)</f>
        <v>000518</v>
      </c>
      <c r="B316" s="3" t="s">
        <v>1374</v>
      </c>
      <c r="C316" s="3" t="s">
        <v>766</v>
      </c>
      <c r="D316" s="4">
        <v>350</v>
      </c>
      <c r="E316" s="3" t="s">
        <v>767</v>
      </c>
      <c r="F316" s="3" t="s">
        <v>33</v>
      </c>
      <c r="G316" s="3" t="s">
        <v>1375</v>
      </c>
      <c r="H316" s="3" t="s">
        <v>84</v>
      </c>
      <c r="I316" s="3" t="s">
        <v>20</v>
      </c>
      <c r="J316" s="3" t="s">
        <v>73</v>
      </c>
      <c r="K316" s="3" t="s">
        <v>33</v>
      </c>
      <c r="L316" s="3" t="s">
        <v>163</v>
      </c>
      <c r="M316" s="3" t="s">
        <v>33</v>
      </c>
      <c r="N316" s="3" t="s">
        <v>33</v>
      </c>
      <c r="O316" t="str">
        <f>"2025-01-01"</f>
        <v>2025-01-01</v>
      </c>
      <c r="P316" t="str">
        <f>"2025-12-31"</f>
        <v>2025-12-31</v>
      </c>
    </row>
    <row r="317" spans="1:16" x14ac:dyDescent="0.2">
      <c r="A317" t="str" cm="1">
        <f t="array" ref="A317">_xlfn.LET(
    _xlpm.txt, B317,
    _xlpm.chars, MID(_xlpm.txt, _xlfn.SEQUENCE(LEN(_xlpm.txt)), 1),
    _xlpm.filtered, _xlfn._xlws.FILTER(_xlpm.chars, NOT(ISNUMBER(SEARCH(_xlpm.chars, "ABCDEFGHIJKLMNOPQRSTUVWXYZabcdefghijklmnopqrstuvwxyz")))),
    _xlfn.TEXTJOIN("",, _xlpm.filtered)
)</f>
        <v>000519</v>
      </c>
      <c r="B317" s="3" t="s">
        <v>1376</v>
      </c>
      <c r="C317" s="3" t="s">
        <v>766</v>
      </c>
      <c r="D317" s="4">
        <v>350</v>
      </c>
      <c r="E317" s="3" t="s">
        <v>767</v>
      </c>
      <c r="F317" s="3" t="s">
        <v>33</v>
      </c>
      <c r="G317" s="3" t="s">
        <v>1377</v>
      </c>
      <c r="H317" s="3" t="s">
        <v>824</v>
      </c>
      <c r="I317" s="3" t="s">
        <v>20</v>
      </c>
      <c r="J317" s="3" t="s">
        <v>119</v>
      </c>
      <c r="K317" s="3" t="s">
        <v>37</v>
      </c>
      <c r="L317" s="3" t="s">
        <v>38</v>
      </c>
      <c r="M317" s="3" t="s">
        <v>87</v>
      </c>
      <c r="N317" s="3" t="s">
        <v>33</v>
      </c>
      <c r="O317" t="str">
        <f>"2025-01-01"</f>
        <v>2025-01-01</v>
      </c>
      <c r="P317" t="str">
        <f>"2025-12-31"</f>
        <v>2025-12-31</v>
      </c>
    </row>
    <row r="318" spans="1:16" x14ac:dyDescent="0.2">
      <c r="A318" t="str" cm="1">
        <f t="array" ref="A318">_xlfn.LET(
    _xlpm.txt, B318,
    _xlpm.chars, MID(_xlpm.txt, _xlfn.SEQUENCE(LEN(_xlpm.txt)), 1),
    _xlpm.filtered, _xlfn._xlws.FILTER(_xlpm.chars, NOT(ISNUMBER(SEARCH(_xlpm.chars, "ABCDEFGHIJKLMNOPQRSTUVWXYZabcdefghijklmnopqrstuvwxyz")))),
    _xlfn.TEXTJOIN("",, _xlpm.filtered)
)</f>
        <v>000520</v>
      </c>
      <c r="B318" s="3" t="s">
        <v>1378</v>
      </c>
      <c r="C318" s="3" t="s">
        <v>1379</v>
      </c>
      <c r="D318" s="4">
        <v>150</v>
      </c>
      <c r="E318" s="3" t="s">
        <v>33</v>
      </c>
      <c r="F318" s="3" t="s">
        <v>33</v>
      </c>
      <c r="G318" s="3" t="s">
        <v>1380</v>
      </c>
      <c r="H318" s="3" t="s">
        <v>928</v>
      </c>
      <c r="I318" s="3" t="s">
        <v>33</v>
      </c>
      <c r="J318" s="3" t="s">
        <v>33</v>
      </c>
      <c r="K318" s="3" t="s">
        <v>33</v>
      </c>
      <c r="L318" s="3" t="s">
        <v>33</v>
      </c>
      <c r="M318" s="3" t="s">
        <v>33</v>
      </c>
      <c r="N318" s="3" t="s">
        <v>33</v>
      </c>
      <c r="O318" t="str">
        <f>"2022-02-01"</f>
        <v>2022-02-01</v>
      </c>
      <c r="P318" t="str">
        <f>"2023-01-31"</f>
        <v>2023-01-31</v>
      </c>
    </row>
    <row r="319" spans="1:16" x14ac:dyDescent="0.2">
      <c r="A319" t="str" cm="1">
        <f t="array" ref="A319">_xlfn.LET(
    _xlpm.txt, B319,
    _xlpm.chars, MID(_xlpm.txt, _xlfn.SEQUENCE(LEN(_xlpm.txt)), 1),
    _xlpm.filtered, _xlfn._xlws.FILTER(_xlpm.chars, NOT(ISNUMBER(SEARCH(_xlpm.chars, "ABCDEFGHIJKLMNOPQRSTUVWXYZabcdefghijklmnopqrstuvwxyz")))),
    _xlfn.TEXTJOIN("",, _xlpm.filtered)
)</f>
        <v>000522</v>
      </c>
      <c r="B319" s="3" t="s">
        <v>1381</v>
      </c>
      <c r="C319" s="3" t="s">
        <v>1382</v>
      </c>
      <c r="D319" s="4">
        <v>150</v>
      </c>
      <c r="E319" s="3" t="s">
        <v>110</v>
      </c>
      <c r="F319" s="3" t="s">
        <v>33</v>
      </c>
      <c r="G319" s="3" t="s">
        <v>1383</v>
      </c>
      <c r="H319" s="3" t="s">
        <v>1295</v>
      </c>
      <c r="I319" s="3" t="s">
        <v>33</v>
      </c>
      <c r="J319" s="3" t="s">
        <v>85</v>
      </c>
      <c r="K319" s="3" t="s">
        <v>37</v>
      </c>
      <c r="L319" s="3" t="s">
        <v>38</v>
      </c>
      <c r="M319" s="3" t="s">
        <v>87</v>
      </c>
      <c r="N319" s="3" t="s">
        <v>25</v>
      </c>
      <c r="O319" t="str">
        <f t="shared" ref="O319:O333" si="2">"2025-02-01"</f>
        <v>2025-02-01</v>
      </c>
      <c r="P319" t="str">
        <f t="shared" ref="P319:P333" si="3">"2026-01-31"</f>
        <v>2026-01-31</v>
      </c>
    </row>
    <row r="320" spans="1:16" x14ac:dyDescent="0.2">
      <c r="A320" t="str" cm="1">
        <f t="array" ref="A320">_xlfn.LET(
    _xlpm.txt, B320,
    _xlpm.chars, MID(_xlpm.txt, _xlfn.SEQUENCE(LEN(_xlpm.txt)), 1),
    _xlpm.filtered, _xlfn._xlws.FILTER(_xlpm.chars, NOT(ISNUMBER(SEARCH(_xlpm.chars, "ABCDEFGHIJKLMNOPQRSTUVWXYZabcdefghijklmnopqrstuvwxyz")))),
    _xlfn.TEXTJOIN("",, _xlpm.filtered)
)</f>
        <v>000538</v>
      </c>
      <c r="B320" s="3" t="s">
        <v>1384</v>
      </c>
      <c r="C320" s="3" t="s">
        <v>1385</v>
      </c>
      <c r="D320" s="4">
        <v>130</v>
      </c>
      <c r="E320" s="3" t="s">
        <v>1386</v>
      </c>
      <c r="F320" s="3" t="s">
        <v>33</v>
      </c>
      <c r="G320" s="3" t="s">
        <v>1387</v>
      </c>
      <c r="H320" s="3" t="s">
        <v>1388</v>
      </c>
      <c r="I320" s="3" t="s">
        <v>33</v>
      </c>
      <c r="J320" s="3" t="s">
        <v>67</v>
      </c>
      <c r="K320" s="3" t="s">
        <v>22</v>
      </c>
      <c r="L320" s="3" t="s">
        <v>23</v>
      </c>
      <c r="M320" s="3" t="s">
        <v>24</v>
      </c>
      <c r="N320" s="3" t="s">
        <v>25</v>
      </c>
      <c r="O320" t="str">
        <f t="shared" si="2"/>
        <v>2025-02-01</v>
      </c>
      <c r="P320" t="str">
        <f t="shared" si="3"/>
        <v>2026-01-31</v>
      </c>
    </row>
    <row r="321" spans="1:16" x14ac:dyDescent="0.2">
      <c r="A321" t="str" cm="1">
        <f t="array" ref="A321">_xlfn.LET(
    _xlpm.txt, B321,
    _xlpm.chars, MID(_xlpm.txt, _xlfn.SEQUENCE(LEN(_xlpm.txt)), 1),
    _xlpm.filtered, _xlfn._xlws.FILTER(_xlpm.chars, NOT(ISNUMBER(SEARCH(_xlpm.chars, "ABCDEFGHIJKLMNOPQRSTUVWXYZabcdefghijklmnopqrstuvwxyz")))),
    _xlfn.TEXTJOIN("",, _xlpm.filtered)
)</f>
        <v>000539</v>
      </c>
      <c r="B321" s="3" t="s">
        <v>1389</v>
      </c>
      <c r="C321" s="3" t="s">
        <v>1385</v>
      </c>
      <c r="D321" s="4">
        <v>130</v>
      </c>
      <c r="E321" s="3" t="s">
        <v>33</v>
      </c>
      <c r="F321" s="3" t="s">
        <v>1390</v>
      </c>
      <c r="G321" s="3" t="s">
        <v>1391</v>
      </c>
      <c r="H321" s="3" t="s">
        <v>670</v>
      </c>
      <c r="I321" s="3" t="s">
        <v>33</v>
      </c>
      <c r="J321" s="3" t="s">
        <v>85</v>
      </c>
      <c r="K321" s="3" t="s">
        <v>37</v>
      </c>
      <c r="L321" s="3" t="s">
        <v>38</v>
      </c>
      <c r="M321" s="3" t="s">
        <v>62</v>
      </c>
      <c r="N321" s="3" t="s">
        <v>25</v>
      </c>
      <c r="O321" t="str">
        <f t="shared" si="2"/>
        <v>2025-02-01</v>
      </c>
      <c r="P321" t="str">
        <f t="shared" si="3"/>
        <v>2026-01-31</v>
      </c>
    </row>
    <row r="322" spans="1:16" x14ac:dyDescent="0.2">
      <c r="A322" t="str" cm="1">
        <f t="array" ref="A322">_xlfn.LET(
    _xlpm.txt, B322,
    _xlpm.chars, MID(_xlpm.txt, _xlfn.SEQUENCE(LEN(_xlpm.txt)), 1),
    _xlpm.filtered, _xlfn._xlws.FILTER(_xlpm.chars, NOT(ISNUMBER(SEARCH(_xlpm.chars, "ABCDEFGHIJKLMNOPQRSTUVWXYZabcdefghijklmnopqrstuvwxyz")))),
    _xlfn.TEXTJOIN("",, _xlpm.filtered)
)</f>
        <v>000540</v>
      </c>
      <c r="B322" s="3" t="s">
        <v>1392</v>
      </c>
      <c r="C322" s="3" t="s">
        <v>1385</v>
      </c>
      <c r="D322" s="4">
        <v>130</v>
      </c>
      <c r="E322" s="3" t="s">
        <v>33</v>
      </c>
      <c r="F322" s="3" t="s">
        <v>1393</v>
      </c>
      <c r="G322" s="3" t="s">
        <v>1394</v>
      </c>
      <c r="H322" s="3" t="s">
        <v>670</v>
      </c>
      <c r="I322" s="3" t="s">
        <v>33</v>
      </c>
      <c r="J322" s="3" t="s">
        <v>85</v>
      </c>
      <c r="K322" s="3" t="s">
        <v>37</v>
      </c>
      <c r="L322" s="3" t="s">
        <v>38</v>
      </c>
      <c r="M322" s="3" t="s">
        <v>62</v>
      </c>
      <c r="N322" s="3" t="s">
        <v>25</v>
      </c>
      <c r="O322" t="str">
        <f t="shared" si="2"/>
        <v>2025-02-01</v>
      </c>
      <c r="P322" t="str">
        <f t="shared" si="3"/>
        <v>2026-01-31</v>
      </c>
    </row>
    <row r="323" spans="1:16" x14ac:dyDescent="0.2">
      <c r="A323" t="str" cm="1">
        <f t="array" ref="A323">_xlfn.LET(
    _xlpm.txt, B323,
    _xlpm.chars, MID(_xlpm.txt, _xlfn.SEQUENCE(LEN(_xlpm.txt)), 1),
    _xlpm.filtered, _xlfn._xlws.FILTER(_xlpm.chars, NOT(ISNUMBER(SEARCH(_xlpm.chars, "ABCDEFGHIJKLMNOPQRSTUVWXYZabcdefghijklmnopqrstuvwxyz")))),
    _xlfn.TEXTJOIN("",, _xlpm.filtered)
)</f>
        <v>000541</v>
      </c>
      <c r="B323" s="3" t="s">
        <v>1395</v>
      </c>
      <c r="C323" s="3" t="s">
        <v>1385</v>
      </c>
      <c r="D323" s="4">
        <v>130</v>
      </c>
      <c r="E323" s="3" t="s">
        <v>33</v>
      </c>
      <c r="F323" s="3" t="s">
        <v>1393</v>
      </c>
      <c r="G323" s="3" t="s">
        <v>1396</v>
      </c>
      <c r="H323" s="3" t="s">
        <v>670</v>
      </c>
      <c r="I323" s="3" t="s">
        <v>33</v>
      </c>
      <c r="J323" s="3" t="s">
        <v>85</v>
      </c>
      <c r="K323" s="3" t="s">
        <v>37</v>
      </c>
      <c r="L323" s="3" t="s">
        <v>38</v>
      </c>
      <c r="M323" s="3" t="s">
        <v>62</v>
      </c>
      <c r="N323" s="3" t="s">
        <v>25</v>
      </c>
      <c r="O323" t="str">
        <f t="shared" si="2"/>
        <v>2025-02-01</v>
      </c>
      <c r="P323" t="str">
        <f t="shared" si="3"/>
        <v>2026-01-31</v>
      </c>
    </row>
    <row r="324" spans="1:16" x14ac:dyDescent="0.2">
      <c r="A324" t="str" cm="1">
        <f t="array" ref="A324">_xlfn.LET(
    _xlpm.txt, B324,
    _xlpm.chars, MID(_xlpm.txt, _xlfn.SEQUENCE(LEN(_xlpm.txt)), 1),
    _xlpm.filtered, _xlfn._xlws.FILTER(_xlpm.chars, NOT(ISNUMBER(SEARCH(_xlpm.chars, "ABCDEFGHIJKLMNOPQRSTUVWXYZabcdefghijklmnopqrstuvwxyz")))),
    _xlfn.TEXTJOIN("",, _xlpm.filtered)
)</f>
        <v>000542</v>
      </c>
      <c r="B324" s="3" t="s">
        <v>1397</v>
      </c>
      <c r="C324" s="3" t="s">
        <v>1385</v>
      </c>
      <c r="D324" s="4">
        <v>130</v>
      </c>
      <c r="E324" s="3" t="s">
        <v>33</v>
      </c>
      <c r="F324" s="3" t="s">
        <v>1398</v>
      </c>
      <c r="G324" s="3" t="s">
        <v>1399</v>
      </c>
      <c r="H324" s="3" t="s">
        <v>670</v>
      </c>
      <c r="I324" s="3" t="s">
        <v>33</v>
      </c>
      <c r="J324" s="3" t="s">
        <v>85</v>
      </c>
      <c r="K324" s="3" t="s">
        <v>37</v>
      </c>
      <c r="L324" s="3" t="s">
        <v>38</v>
      </c>
      <c r="M324" s="3" t="s">
        <v>62</v>
      </c>
      <c r="N324" s="3" t="s">
        <v>25</v>
      </c>
      <c r="O324" t="str">
        <f t="shared" si="2"/>
        <v>2025-02-01</v>
      </c>
      <c r="P324" t="str">
        <f t="shared" si="3"/>
        <v>2026-01-31</v>
      </c>
    </row>
    <row r="325" spans="1:16" x14ac:dyDescent="0.2">
      <c r="A325" t="str" cm="1">
        <f t="array" ref="A325">_xlfn.LET(
    _xlpm.txt, B325,
    _xlpm.chars, MID(_xlpm.txt, _xlfn.SEQUENCE(LEN(_xlpm.txt)), 1),
    _xlpm.filtered, _xlfn._xlws.FILTER(_xlpm.chars, NOT(ISNUMBER(SEARCH(_xlpm.chars, "ABCDEFGHIJKLMNOPQRSTUVWXYZabcdefghijklmnopqrstuvwxyz")))),
    _xlfn.TEXTJOIN("",, _xlpm.filtered)
)</f>
        <v>000543</v>
      </c>
      <c r="B325" s="3" t="s">
        <v>1400</v>
      </c>
      <c r="C325" s="3" t="s">
        <v>1385</v>
      </c>
      <c r="D325" s="4">
        <v>130</v>
      </c>
      <c r="E325" s="3" t="s">
        <v>33</v>
      </c>
      <c r="F325" s="3" t="s">
        <v>33</v>
      </c>
      <c r="G325" s="3" t="s">
        <v>1401</v>
      </c>
      <c r="H325" s="3" t="s">
        <v>308</v>
      </c>
      <c r="I325" s="3" t="s">
        <v>33</v>
      </c>
      <c r="J325" s="3" t="s">
        <v>85</v>
      </c>
      <c r="K325" s="3" t="s">
        <v>37</v>
      </c>
      <c r="L325" s="3" t="s">
        <v>38</v>
      </c>
      <c r="M325" s="3" t="s">
        <v>518</v>
      </c>
      <c r="N325" s="3" t="s">
        <v>25</v>
      </c>
      <c r="O325" t="str">
        <f t="shared" si="2"/>
        <v>2025-02-01</v>
      </c>
      <c r="P325" t="str">
        <f t="shared" si="3"/>
        <v>2026-01-31</v>
      </c>
    </row>
    <row r="326" spans="1:16" x14ac:dyDescent="0.2">
      <c r="A326" t="str" cm="1">
        <f t="array" ref="A326">_xlfn.LET(
    _xlpm.txt, B326,
    _xlpm.chars, MID(_xlpm.txt, _xlfn.SEQUENCE(LEN(_xlpm.txt)), 1),
    _xlpm.filtered, _xlfn._xlws.FILTER(_xlpm.chars, NOT(ISNUMBER(SEARCH(_xlpm.chars, "ABCDEFGHIJKLMNOPQRSTUVWXYZabcdefghijklmnopqrstuvwxyz")))),
    _xlfn.TEXTJOIN("",, _xlpm.filtered)
)</f>
        <v>000544</v>
      </c>
      <c r="B326" s="3" t="s">
        <v>1402</v>
      </c>
      <c r="C326" s="3" t="s">
        <v>1385</v>
      </c>
      <c r="D326" s="4">
        <v>130</v>
      </c>
      <c r="E326" s="3" t="s">
        <v>33</v>
      </c>
      <c r="F326" s="3" t="s">
        <v>33</v>
      </c>
      <c r="G326" s="3" t="s">
        <v>1403</v>
      </c>
      <c r="H326" s="3" t="s">
        <v>308</v>
      </c>
      <c r="I326" s="3" t="s">
        <v>33</v>
      </c>
      <c r="J326" s="3" t="s">
        <v>85</v>
      </c>
      <c r="K326" s="3" t="s">
        <v>46</v>
      </c>
      <c r="L326" s="3" t="s">
        <v>38</v>
      </c>
      <c r="M326" s="3" t="s">
        <v>126</v>
      </c>
      <c r="N326" s="3" t="s">
        <v>25</v>
      </c>
      <c r="O326" t="str">
        <f t="shared" si="2"/>
        <v>2025-02-01</v>
      </c>
      <c r="P326" t="str">
        <f t="shared" si="3"/>
        <v>2026-01-31</v>
      </c>
    </row>
    <row r="327" spans="1:16" x14ac:dyDescent="0.2">
      <c r="A327" t="str" cm="1">
        <f t="array" ref="A327">_xlfn.LET(
    _xlpm.txt, B327,
    _xlpm.chars, MID(_xlpm.txt, _xlfn.SEQUENCE(LEN(_xlpm.txt)), 1),
    _xlpm.filtered, _xlfn._xlws.FILTER(_xlpm.chars, NOT(ISNUMBER(SEARCH(_xlpm.chars, "ABCDEFGHIJKLMNOPQRSTUVWXYZabcdefghijklmnopqrstuvwxyz")))),
    _xlfn.TEXTJOIN("",, _xlpm.filtered)
)</f>
        <v>000545</v>
      </c>
      <c r="B327" s="3" t="s">
        <v>1404</v>
      </c>
      <c r="C327" s="3" t="s">
        <v>1385</v>
      </c>
      <c r="D327" s="4">
        <v>130</v>
      </c>
      <c r="E327" s="3" t="s">
        <v>33</v>
      </c>
      <c r="F327" s="3" t="s">
        <v>33</v>
      </c>
      <c r="G327" s="3" t="s">
        <v>1405</v>
      </c>
      <c r="H327" s="3" t="s">
        <v>308</v>
      </c>
      <c r="I327" s="3" t="s">
        <v>33</v>
      </c>
      <c r="J327" s="3" t="s">
        <v>85</v>
      </c>
      <c r="K327" s="3" t="s">
        <v>46</v>
      </c>
      <c r="L327" s="3" t="s">
        <v>38</v>
      </c>
      <c r="M327" s="3" t="s">
        <v>126</v>
      </c>
      <c r="N327" s="3" t="s">
        <v>25</v>
      </c>
      <c r="O327" t="str">
        <f t="shared" si="2"/>
        <v>2025-02-01</v>
      </c>
      <c r="P327" t="str">
        <f t="shared" si="3"/>
        <v>2026-01-31</v>
      </c>
    </row>
    <row r="328" spans="1:16" x14ac:dyDescent="0.2">
      <c r="A328" t="str" cm="1">
        <f t="array" ref="A328">_xlfn.LET(
    _xlpm.txt, B328,
    _xlpm.chars, MID(_xlpm.txt, _xlfn.SEQUENCE(LEN(_xlpm.txt)), 1),
    _xlpm.filtered, _xlfn._xlws.FILTER(_xlpm.chars, NOT(ISNUMBER(SEARCH(_xlpm.chars, "ABCDEFGHIJKLMNOPQRSTUVWXYZabcdefghijklmnopqrstuvwxyz")))),
    _xlfn.TEXTJOIN("",, _xlpm.filtered)
)</f>
        <v>000546</v>
      </c>
      <c r="B328" s="3" t="s">
        <v>1406</v>
      </c>
      <c r="C328" s="3" t="s">
        <v>1385</v>
      </c>
      <c r="D328" s="4">
        <v>130</v>
      </c>
      <c r="E328" s="3" t="s">
        <v>33</v>
      </c>
      <c r="F328" s="3" t="s">
        <v>33</v>
      </c>
      <c r="G328" s="3" t="s">
        <v>1407</v>
      </c>
      <c r="H328" s="3" t="s">
        <v>308</v>
      </c>
      <c r="I328" s="3" t="s">
        <v>33</v>
      </c>
      <c r="J328" s="3" t="s">
        <v>36</v>
      </c>
      <c r="K328" s="3" t="s">
        <v>46</v>
      </c>
      <c r="L328" s="3" t="s">
        <v>38</v>
      </c>
      <c r="M328" s="3" t="s">
        <v>1408</v>
      </c>
      <c r="N328" s="3" t="s">
        <v>25</v>
      </c>
      <c r="O328" t="str">
        <f t="shared" si="2"/>
        <v>2025-02-01</v>
      </c>
      <c r="P328" t="str">
        <f t="shared" si="3"/>
        <v>2026-01-31</v>
      </c>
    </row>
    <row r="329" spans="1:16" x14ac:dyDescent="0.2">
      <c r="A329" t="str" cm="1">
        <f t="array" ref="A329">_xlfn.LET(
    _xlpm.txt, B329,
    _xlpm.chars, MID(_xlpm.txt, _xlfn.SEQUENCE(LEN(_xlpm.txt)), 1),
    _xlpm.filtered, _xlfn._xlws.FILTER(_xlpm.chars, NOT(ISNUMBER(SEARCH(_xlpm.chars, "ABCDEFGHIJKLMNOPQRSTUVWXYZabcdefghijklmnopqrstuvwxyz")))),
    _xlfn.TEXTJOIN("",, _xlpm.filtered)
)</f>
        <v>000547</v>
      </c>
      <c r="B329" s="3" t="s">
        <v>1409</v>
      </c>
      <c r="C329" s="3" t="s">
        <v>1385</v>
      </c>
      <c r="D329" s="4">
        <v>130</v>
      </c>
      <c r="E329" s="3" t="s">
        <v>1386</v>
      </c>
      <c r="F329" s="3" t="s">
        <v>33</v>
      </c>
      <c r="G329" s="3" t="s">
        <v>1410</v>
      </c>
      <c r="H329" s="3" t="s">
        <v>308</v>
      </c>
      <c r="I329" s="3" t="s">
        <v>33</v>
      </c>
      <c r="J329" s="3" t="s">
        <v>36</v>
      </c>
      <c r="K329" s="3" t="s">
        <v>46</v>
      </c>
      <c r="L329" s="3" t="s">
        <v>38</v>
      </c>
      <c r="M329" s="3" t="s">
        <v>1408</v>
      </c>
      <c r="N329" s="3" t="s">
        <v>25</v>
      </c>
      <c r="O329" t="str">
        <f t="shared" si="2"/>
        <v>2025-02-01</v>
      </c>
      <c r="P329" t="str">
        <f t="shared" si="3"/>
        <v>2026-01-31</v>
      </c>
    </row>
    <row r="330" spans="1:16" x14ac:dyDescent="0.2">
      <c r="A330" t="str" cm="1">
        <f t="array" ref="A330">_xlfn.LET(
    _xlpm.txt, B330,
    _xlpm.chars, MID(_xlpm.txt, _xlfn.SEQUENCE(LEN(_xlpm.txt)), 1),
    _xlpm.filtered, _xlfn._xlws.FILTER(_xlpm.chars, NOT(ISNUMBER(SEARCH(_xlpm.chars, "ABCDEFGHIJKLMNOPQRSTUVWXYZabcdefghijklmnopqrstuvwxyz")))),
    _xlfn.TEXTJOIN("",, _xlpm.filtered)
)</f>
        <v>000548</v>
      </c>
      <c r="B330" s="3" t="s">
        <v>1411</v>
      </c>
      <c r="C330" s="3" t="s">
        <v>1385</v>
      </c>
      <c r="D330" s="4">
        <v>350</v>
      </c>
      <c r="E330" s="3" t="s">
        <v>33</v>
      </c>
      <c r="F330" s="3" t="s">
        <v>1412</v>
      </c>
      <c r="G330" s="3" t="s">
        <v>1413</v>
      </c>
      <c r="H330" s="3" t="s">
        <v>308</v>
      </c>
      <c r="I330" s="3" t="s">
        <v>33</v>
      </c>
      <c r="J330" s="3" t="s">
        <v>36</v>
      </c>
      <c r="K330" s="3" t="s">
        <v>196</v>
      </c>
      <c r="L330" s="3" t="s">
        <v>23</v>
      </c>
      <c r="M330" s="3" t="s">
        <v>1414</v>
      </c>
      <c r="N330" s="3" t="s">
        <v>25</v>
      </c>
      <c r="O330" t="str">
        <f t="shared" si="2"/>
        <v>2025-02-01</v>
      </c>
      <c r="P330" t="str">
        <f t="shared" si="3"/>
        <v>2026-01-31</v>
      </c>
    </row>
    <row r="331" spans="1:16" x14ac:dyDescent="0.2">
      <c r="A331" t="str" cm="1">
        <f t="array" ref="A331">_xlfn.LET(
    _xlpm.txt, B331,
    _xlpm.chars, MID(_xlpm.txt, _xlfn.SEQUENCE(LEN(_xlpm.txt)), 1),
    _xlpm.filtered, _xlfn._xlws.FILTER(_xlpm.chars, NOT(ISNUMBER(SEARCH(_xlpm.chars, "ABCDEFGHIJKLMNOPQRSTUVWXYZabcdefghijklmnopqrstuvwxyz")))),
    _xlfn.TEXTJOIN("",, _xlpm.filtered)
)</f>
        <v>000549</v>
      </c>
      <c r="B331" s="3" t="s">
        <v>1415</v>
      </c>
      <c r="C331" s="3" t="s">
        <v>1385</v>
      </c>
      <c r="D331" s="4">
        <v>350</v>
      </c>
      <c r="E331" s="3" t="s">
        <v>33</v>
      </c>
      <c r="F331" s="3" t="s">
        <v>1416</v>
      </c>
      <c r="G331" s="3" t="s">
        <v>1417</v>
      </c>
      <c r="H331" s="3" t="s">
        <v>132</v>
      </c>
      <c r="I331" s="3" t="s">
        <v>33</v>
      </c>
      <c r="J331" s="3" t="s">
        <v>21</v>
      </c>
      <c r="K331" s="3" t="s">
        <v>33</v>
      </c>
      <c r="L331" s="3" t="s">
        <v>23</v>
      </c>
      <c r="M331" s="3" t="s">
        <v>33</v>
      </c>
      <c r="N331" s="3" t="s">
        <v>25</v>
      </c>
      <c r="O331" t="str">
        <f t="shared" si="2"/>
        <v>2025-02-01</v>
      </c>
      <c r="P331" t="str">
        <f t="shared" si="3"/>
        <v>2026-01-31</v>
      </c>
    </row>
    <row r="332" spans="1:16" x14ac:dyDescent="0.2">
      <c r="A332" t="str" cm="1">
        <f t="array" ref="A332">_xlfn.LET(
    _xlpm.txt, B332,
    _xlpm.chars, MID(_xlpm.txt, _xlfn.SEQUENCE(LEN(_xlpm.txt)), 1),
    _xlpm.filtered, _xlfn._xlws.FILTER(_xlpm.chars, NOT(ISNUMBER(SEARCH(_xlpm.chars, "ABCDEFGHIJKLMNOPQRSTUVWXYZabcdefghijklmnopqrstuvwxyz")))),
    _xlfn.TEXTJOIN("",, _xlpm.filtered)
)</f>
        <v>000550</v>
      </c>
      <c r="B332" s="3" t="s">
        <v>1418</v>
      </c>
      <c r="C332" s="3" t="s">
        <v>1385</v>
      </c>
      <c r="D332" s="4">
        <v>350</v>
      </c>
      <c r="E332" s="3" t="s">
        <v>33</v>
      </c>
      <c r="F332" s="3" t="s">
        <v>1419</v>
      </c>
      <c r="G332" s="3" t="s">
        <v>1420</v>
      </c>
      <c r="H332" s="3" t="s">
        <v>363</v>
      </c>
      <c r="I332" s="3" t="s">
        <v>33</v>
      </c>
      <c r="J332" s="3" t="s">
        <v>21</v>
      </c>
      <c r="K332" s="3" t="s">
        <v>488</v>
      </c>
      <c r="L332" s="3" t="s">
        <v>23</v>
      </c>
      <c r="M332" s="3" t="s">
        <v>24</v>
      </c>
      <c r="N332" s="3" t="s">
        <v>25</v>
      </c>
      <c r="O332" t="str">
        <f t="shared" si="2"/>
        <v>2025-02-01</v>
      </c>
      <c r="P332" t="str">
        <f t="shared" si="3"/>
        <v>2026-01-31</v>
      </c>
    </row>
    <row r="333" spans="1:16" x14ac:dyDescent="0.2">
      <c r="A333" t="str" cm="1">
        <f t="array" ref="A333">_xlfn.LET(
    _xlpm.txt, B333,
    _xlpm.chars, MID(_xlpm.txt, _xlfn.SEQUENCE(LEN(_xlpm.txt)), 1),
    _xlpm.filtered, _xlfn._xlws.FILTER(_xlpm.chars, NOT(ISNUMBER(SEARCH(_xlpm.chars, "ABCDEFGHIJKLMNOPQRSTUVWXYZabcdefghijklmnopqrstuvwxyz")))),
    _xlfn.TEXTJOIN("",, _xlpm.filtered)
)</f>
        <v>000551</v>
      </c>
      <c r="B333" s="3" t="s">
        <v>1421</v>
      </c>
      <c r="C333" s="3" t="s">
        <v>1385</v>
      </c>
      <c r="D333" s="4">
        <v>390</v>
      </c>
      <c r="E333" s="3" t="s">
        <v>33</v>
      </c>
      <c r="F333" s="3" t="s">
        <v>33</v>
      </c>
      <c r="G333" s="3" t="s">
        <v>1422</v>
      </c>
      <c r="H333" s="3" t="s">
        <v>1256</v>
      </c>
      <c r="I333" s="3" t="s">
        <v>33</v>
      </c>
      <c r="J333" s="3" t="s">
        <v>36</v>
      </c>
      <c r="K333" s="3" t="s">
        <v>33</v>
      </c>
      <c r="L333" s="3" t="s">
        <v>38</v>
      </c>
      <c r="M333" s="3" t="s">
        <v>33</v>
      </c>
      <c r="N333" s="3" t="s">
        <v>25</v>
      </c>
      <c r="O333" t="str">
        <f t="shared" si="2"/>
        <v>2025-02-01</v>
      </c>
      <c r="P333" t="str">
        <f t="shared" si="3"/>
        <v>2026-01-31</v>
      </c>
    </row>
    <row r="334" spans="1:16" x14ac:dyDescent="0.2">
      <c r="A334" t="str" cm="1">
        <f t="array" ref="A334">_xlfn.LET(
    _xlpm.txt, B334,
    _xlpm.chars, MID(_xlpm.txt, _xlfn.SEQUENCE(LEN(_xlpm.txt)), 1),
    _xlpm.filtered, _xlfn._xlws.FILTER(_xlpm.chars, NOT(ISNUMBER(SEARCH(_xlpm.chars, "ABCDEFGHIJKLMNOPQRSTUVWXYZabcdefghijklmnopqrstuvwxyz")))),
    _xlfn.TEXTJOIN("",, _xlpm.filtered)
)</f>
        <v>000553</v>
      </c>
      <c r="B334" s="3" t="s">
        <v>1423</v>
      </c>
      <c r="C334" s="3" t="s">
        <v>261</v>
      </c>
      <c r="D334" s="4">
        <v>300</v>
      </c>
      <c r="E334" s="3" t="s">
        <v>262</v>
      </c>
      <c r="F334" s="3" t="s">
        <v>1424</v>
      </c>
      <c r="G334" s="3" t="s">
        <v>1425</v>
      </c>
      <c r="H334" s="3" t="s">
        <v>132</v>
      </c>
      <c r="I334" s="3" t="s">
        <v>20</v>
      </c>
      <c r="J334" s="3" t="s">
        <v>21</v>
      </c>
      <c r="K334" s="3" t="s">
        <v>37</v>
      </c>
      <c r="L334" s="3" t="s">
        <v>23</v>
      </c>
      <c r="M334" s="3" t="s">
        <v>24</v>
      </c>
      <c r="N334" s="3" t="s">
        <v>25</v>
      </c>
      <c r="O334" t="str">
        <f>"2025-03-15"</f>
        <v>2025-03-15</v>
      </c>
      <c r="P334" t="str">
        <f>"2026-03-14"</f>
        <v>2026-03-14</v>
      </c>
    </row>
    <row r="335" spans="1:16" x14ac:dyDescent="0.2">
      <c r="A335" t="str" cm="1">
        <f t="array" ref="A335">_xlfn.LET(
    _xlpm.txt, B335,
    _xlpm.chars, MID(_xlpm.txt, _xlfn.SEQUENCE(LEN(_xlpm.txt)), 1),
    _xlpm.filtered, _xlfn._xlws.FILTER(_xlpm.chars, NOT(ISNUMBER(SEARCH(_xlpm.chars, "ABCDEFGHIJKLMNOPQRSTUVWXYZabcdefghijklmnopqrstuvwxyz")))),
    _xlfn.TEXTJOIN("",, _xlpm.filtered)
)</f>
        <v>000554</v>
      </c>
      <c r="B335" s="3" t="s">
        <v>1426</v>
      </c>
      <c r="C335" s="3" t="s">
        <v>1427</v>
      </c>
      <c r="D335" s="4">
        <v>175</v>
      </c>
      <c r="E335" s="3" t="s">
        <v>1428</v>
      </c>
      <c r="F335" s="3" t="s">
        <v>1429</v>
      </c>
      <c r="G335" s="3" t="s">
        <v>1430</v>
      </c>
      <c r="H335" s="3" t="s">
        <v>132</v>
      </c>
      <c r="I335" s="3" t="s">
        <v>33</v>
      </c>
      <c r="J335" s="3" t="s">
        <v>73</v>
      </c>
      <c r="K335" s="3" t="s">
        <v>22</v>
      </c>
      <c r="L335" s="3" t="s">
        <v>38</v>
      </c>
      <c r="M335" s="3" t="s">
        <v>24</v>
      </c>
      <c r="N335" s="3" t="s">
        <v>25</v>
      </c>
      <c r="O335" t="str">
        <f>"2025-03-01"</f>
        <v>2025-03-01</v>
      </c>
      <c r="P335" t="str">
        <f>"2026-02-28"</f>
        <v>2026-02-28</v>
      </c>
    </row>
    <row r="336" spans="1:16" x14ac:dyDescent="0.2">
      <c r="A336" t="str" cm="1">
        <f t="array" ref="A336">_xlfn.LET(
    _xlpm.txt, B336,
    _xlpm.chars, MID(_xlpm.txt, _xlfn.SEQUENCE(LEN(_xlpm.txt)), 1),
    _xlpm.filtered, _xlfn._xlws.FILTER(_xlpm.chars, NOT(ISNUMBER(SEARCH(_xlpm.chars, "ABCDEFGHIJKLMNOPQRSTUVWXYZabcdefghijklmnopqrstuvwxyz")))),
    _xlfn.TEXTJOIN("",, _xlpm.filtered)
)</f>
        <v>000555</v>
      </c>
      <c r="B336" s="3" t="s">
        <v>1431</v>
      </c>
      <c r="C336" s="3" t="s">
        <v>1432</v>
      </c>
      <c r="D336" s="4">
        <v>110</v>
      </c>
      <c r="E336" s="3" t="s">
        <v>33</v>
      </c>
      <c r="F336" s="3" t="s">
        <v>1433</v>
      </c>
      <c r="G336" s="3" t="s">
        <v>1434</v>
      </c>
      <c r="H336" s="3" t="s">
        <v>1435</v>
      </c>
      <c r="I336" s="3" t="s">
        <v>33</v>
      </c>
      <c r="J336" s="3" t="s">
        <v>36</v>
      </c>
      <c r="K336" s="3" t="s">
        <v>37</v>
      </c>
      <c r="L336" s="3" t="s">
        <v>174</v>
      </c>
      <c r="M336" s="3" t="s">
        <v>87</v>
      </c>
      <c r="N336" s="3" t="s">
        <v>25</v>
      </c>
      <c r="O336" t="str">
        <f>"2025-03-01"</f>
        <v>2025-03-01</v>
      </c>
      <c r="P336" t="str">
        <f>"2026-02-28"</f>
        <v>2026-02-28</v>
      </c>
    </row>
    <row r="337" spans="1:16" x14ac:dyDescent="0.2">
      <c r="A337" t="str" cm="1">
        <f t="array" ref="A337">_xlfn.LET(
    _xlpm.txt, B337,
    _xlpm.chars, MID(_xlpm.txt, _xlfn.SEQUENCE(LEN(_xlpm.txt)), 1),
    _xlpm.filtered, _xlfn._xlws.FILTER(_xlpm.chars, NOT(ISNUMBER(SEARCH(_xlpm.chars, "ABCDEFGHIJKLMNOPQRSTUVWXYZabcdefghijklmnopqrstuvwxyz")))),
    _xlfn.TEXTJOIN("",, _xlpm.filtered)
)</f>
        <v>000556</v>
      </c>
      <c r="B337" s="3" t="s">
        <v>1436</v>
      </c>
      <c r="C337" s="3" t="s">
        <v>261</v>
      </c>
      <c r="D337" s="4">
        <v>300</v>
      </c>
      <c r="E337" s="3" t="s">
        <v>262</v>
      </c>
      <c r="F337" s="3" t="s">
        <v>1437</v>
      </c>
      <c r="G337" s="3" t="s">
        <v>1438</v>
      </c>
      <c r="H337" s="3" t="s">
        <v>1122</v>
      </c>
      <c r="I337" s="3" t="s">
        <v>33</v>
      </c>
      <c r="J337" s="3" t="s">
        <v>73</v>
      </c>
      <c r="K337" s="3" t="s">
        <v>37</v>
      </c>
      <c r="L337" s="3" t="s">
        <v>174</v>
      </c>
      <c r="M337" s="3" t="s">
        <v>401</v>
      </c>
      <c r="N337" s="3" t="s">
        <v>25</v>
      </c>
      <c r="O337" t="str">
        <f>"2025-03-15"</f>
        <v>2025-03-15</v>
      </c>
      <c r="P337" t="str">
        <f>"2026-03-14"</f>
        <v>2026-03-14</v>
      </c>
    </row>
    <row r="338" spans="1:16" x14ac:dyDescent="0.2">
      <c r="A338" t="str" cm="1">
        <f t="array" ref="A338">_xlfn.LET(
    _xlpm.txt, B338,
    _xlpm.chars, MID(_xlpm.txt, _xlfn.SEQUENCE(LEN(_xlpm.txt)), 1),
    _xlpm.filtered, _xlfn._xlws.FILTER(_xlpm.chars, NOT(ISNUMBER(SEARCH(_xlpm.chars, "ABCDEFGHIJKLMNOPQRSTUVWXYZabcdefghijklmnopqrstuvwxyz")))),
    _xlfn.TEXTJOIN("",, _xlpm.filtered)
)</f>
        <v>000557</v>
      </c>
      <c r="B338" s="3" t="s">
        <v>1439</v>
      </c>
      <c r="C338" s="3" t="s">
        <v>1440</v>
      </c>
      <c r="D338" s="4">
        <v>150</v>
      </c>
      <c r="E338" s="3" t="s">
        <v>1441</v>
      </c>
      <c r="F338" s="3" t="s">
        <v>33</v>
      </c>
      <c r="G338" s="3" t="s">
        <v>1442</v>
      </c>
      <c r="H338" s="3" t="s">
        <v>736</v>
      </c>
      <c r="I338" s="3" t="s">
        <v>20</v>
      </c>
      <c r="J338" s="3" t="s">
        <v>67</v>
      </c>
      <c r="K338" s="3" t="s">
        <v>37</v>
      </c>
      <c r="L338" s="3" t="s">
        <v>38</v>
      </c>
      <c r="M338" s="3" t="s">
        <v>62</v>
      </c>
      <c r="N338" s="3" t="s">
        <v>25</v>
      </c>
      <c r="O338" t="str">
        <f>"2024-03-01"</f>
        <v>2024-03-01</v>
      </c>
      <c r="P338" t="str">
        <f>"2025-02-28"</f>
        <v>2025-02-28</v>
      </c>
    </row>
    <row r="339" spans="1:16" x14ac:dyDescent="0.2">
      <c r="A339" t="str" cm="1">
        <f t="array" ref="A339">_xlfn.LET(
    _xlpm.txt, B339,
    _xlpm.chars, MID(_xlpm.txt, _xlfn.SEQUENCE(LEN(_xlpm.txt)), 1),
    _xlpm.filtered, _xlfn._xlws.FILTER(_xlpm.chars, NOT(ISNUMBER(SEARCH(_xlpm.chars, "ABCDEFGHIJKLMNOPQRSTUVWXYZabcdefghijklmnopqrstuvwxyz")))),
    _xlfn.TEXTJOIN("",, _xlpm.filtered)
)</f>
        <v>000558</v>
      </c>
      <c r="B339" s="3" t="s">
        <v>1443</v>
      </c>
      <c r="C339" s="3" t="s">
        <v>1444</v>
      </c>
      <c r="D339" s="4">
        <v>150</v>
      </c>
      <c r="E339" s="3" t="s">
        <v>434</v>
      </c>
      <c r="F339" s="3" t="s">
        <v>1445</v>
      </c>
      <c r="G339" s="3" t="s">
        <v>1446</v>
      </c>
      <c r="H339" s="3" t="s">
        <v>677</v>
      </c>
      <c r="I339" s="3" t="s">
        <v>20</v>
      </c>
      <c r="J339" s="3" t="s">
        <v>36</v>
      </c>
      <c r="K339" s="3" t="s">
        <v>37</v>
      </c>
      <c r="L339" s="3" t="s">
        <v>38</v>
      </c>
      <c r="M339" s="3" t="s">
        <v>87</v>
      </c>
      <c r="N339" s="3" t="s">
        <v>25</v>
      </c>
      <c r="O339" t="str">
        <f>"2025-03-15"</f>
        <v>2025-03-15</v>
      </c>
      <c r="P339" t="str">
        <f>"2026-03-14"</f>
        <v>2026-03-14</v>
      </c>
    </row>
    <row r="340" spans="1:16" x14ac:dyDescent="0.2">
      <c r="A340" t="str" cm="1">
        <f t="array" ref="A340">_xlfn.LET(
    _xlpm.txt, B340,
    _xlpm.chars, MID(_xlpm.txt, _xlfn.SEQUENCE(LEN(_xlpm.txt)), 1),
    _xlpm.filtered, _xlfn._xlws.FILTER(_xlpm.chars, NOT(ISNUMBER(SEARCH(_xlpm.chars, "ABCDEFGHIJKLMNOPQRSTUVWXYZabcdefghijklmnopqrstuvwxyz")))),
    _xlfn.TEXTJOIN("",, _xlpm.filtered)
)</f>
        <v>000559</v>
      </c>
      <c r="B340" s="3" t="s">
        <v>1447</v>
      </c>
      <c r="C340" s="3" t="s">
        <v>1448</v>
      </c>
      <c r="D340" s="4">
        <v>150</v>
      </c>
      <c r="E340" s="3" t="s">
        <v>1449</v>
      </c>
      <c r="F340" s="3" t="s">
        <v>33</v>
      </c>
      <c r="G340" s="3" t="s">
        <v>1450</v>
      </c>
      <c r="H340" s="3" t="s">
        <v>202</v>
      </c>
      <c r="I340" s="3" t="s">
        <v>20</v>
      </c>
      <c r="J340" s="3" t="s">
        <v>67</v>
      </c>
      <c r="K340" s="3" t="s">
        <v>37</v>
      </c>
      <c r="L340" s="3" t="s">
        <v>23</v>
      </c>
      <c r="M340" s="3" t="s">
        <v>24</v>
      </c>
      <c r="N340" s="3" t="s">
        <v>25</v>
      </c>
      <c r="O340" t="str">
        <f>"2025-04-01"</f>
        <v>2025-04-01</v>
      </c>
      <c r="P340" t="str">
        <f>"2026-03-31"</f>
        <v>2026-03-31</v>
      </c>
    </row>
    <row r="341" spans="1:16" x14ac:dyDescent="0.2">
      <c r="A341" t="str" cm="1">
        <f t="array" ref="A341">_xlfn.LET(
    _xlpm.txt, B341,
    _xlpm.chars, MID(_xlpm.txt, _xlfn.SEQUENCE(LEN(_xlpm.txt)), 1),
    _xlpm.filtered, _xlfn._xlws.FILTER(_xlpm.chars, NOT(ISNUMBER(SEARCH(_xlpm.chars, "ABCDEFGHIJKLMNOPQRSTUVWXYZabcdefghijklmnopqrstuvwxyz")))),
    _xlfn.TEXTJOIN("",, _xlpm.filtered)
)</f>
        <v>000560</v>
      </c>
      <c r="B341" s="3" t="s">
        <v>1452</v>
      </c>
      <c r="C341" s="3" t="s">
        <v>1453</v>
      </c>
      <c r="D341" s="4">
        <v>350</v>
      </c>
      <c r="E341" s="3" t="s">
        <v>1053</v>
      </c>
      <c r="F341" s="3" t="s">
        <v>1454</v>
      </c>
      <c r="G341" s="3" t="s">
        <v>1455</v>
      </c>
      <c r="H341" s="3" t="s">
        <v>59</v>
      </c>
      <c r="I341" s="3" t="s">
        <v>33</v>
      </c>
      <c r="J341" s="3" t="s">
        <v>119</v>
      </c>
      <c r="K341" s="3" t="s">
        <v>22</v>
      </c>
      <c r="L341" s="3" t="s">
        <v>174</v>
      </c>
      <c r="M341" s="3" t="s">
        <v>87</v>
      </c>
      <c r="N341" s="3" t="s">
        <v>25</v>
      </c>
      <c r="O341" t="str">
        <f>"2025-06-01"</f>
        <v>2025-06-01</v>
      </c>
      <c r="P341" t="str">
        <f>"2026-05-31"</f>
        <v>2026-05-31</v>
      </c>
    </row>
    <row r="342" spans="1:16" x14ac:dyDescent="0.2">
      <c r="A342" t="str" cm="1">
        <f t="array" ref="A342">_xlfn.LET(
    _xlpm.txt, B342,
    _xlpm.chars, MID(_xlpm.txt, _xlfn.SEQUENCE(LEN(_xlpm.txt)), 1),
    _xlpm.filtered, _xlfn._xlws.FILTER(_xlpm.chars, NOT(ISNUMBER(SEARCH(_xlpm.chars, "ABCDEFGHIJKLMNOPQRSTUVWXYZabcdefghijklmnopqrstuvwxyz")))),
    _xlfn.TEXTJOIN("",, _xlpm.filtered)
)</f>
        <v>000561</v>
      </c>
      <c r="B342" s="3" t="s">
        <v>1456</v>
      </c>
      <c r="C342" s="3" t="s">
        <v>1453</v>
      </c>
      <c r="D342" s="4">
        <v>350</v>
      </c>
      <c r="E342" s="3" t="s">
        <v>1457</v>
      </c>
      <c r="F342" s="3" t="s">
        <v>1458</v>
      </c>
      <c r="G342" s="3" t="s">
        <v>1459</v>
      </c>
      <c r="H342" s="3" t="s">
        <v>59</v>
      </c>
      <c r="I342" s="3" t="s">
        <v>33</v>
      </c>
      <c r="J342" s="3" t="s">
        <v>119</v>
      </c>
      <c r="K342" s="3" t="s">
        <v>22</v>
      </c>
      <c r="L342" s="3" t="s">
        <v>174</v>
      </c>
      <c r="M342" s="3" t="s">
        <v>87</v>
      </c>
      <c r="N342" s="3" t="s">
        <v>25</v>
      </c>
      <c r="O342" t="str">
        <f>"2025-06-01"</f>
        <v>2025-06-01</v>
      </c>
      <c r="P342" t="str">
        <f>"2026-05-31"</f>
        <v>2026-05-31</v>
      </c>
    </row>
    <row r="343" spans="1:16" x14ac:dyDescent="0.2">
      <c r="A343" t="str" cm="1">
        <f t="array" ref="A343">_xlfn.LET(
    _xlpm.txt, B343,
    _xlpm.chars, MID(_xlpm.txt, _xlfn.SEQUENCE(LEN(_xlpm.txt)), 1),
    _xlpm.filtered, _xlfn._xlws.FILTER(_xlpm.chars, NOT(ISNUMBER(SEARCH(_xlpm.chars, "ABCDEFGHIJKLMNOPQRSTUVWXYZabcdefghijklmnopqrstuvwxyz")))),
    _xlfn.TEXTJOIN("",, _xlpm.filtered)
)</f>
        <v>000562</v>
      </c>
      <c r="B343" s="3" t="s">
        <v>1460</v>
      </c>
      <c r="C343" s="3" t="s">
        <v>1461</v>
      </c>
      <c r="D343" s="4">
        <v>120</v>
      </c>
      <c r="E343" s="3" t="s">
        <v>1462</v>
      </c>
      <c r="F343" s="3" t="s">
        <v>33</v>
      </c>
      <c r="G343" s="3" t="s">
        <v>1463</v>
      </c>
      <c r="H343" s="3" t="s">
        <v>1464</v>
      </c>
      <c r="I343" s="3" t="s">
        <v>550</v>
      </c>
      <c r="J343" s="3" t="s">
        <v>67</v>
      </c>
      <c r="K343" s="3" t="s">
        <v>1465</v>
      </c>
      <c r="L343" s="3" t="s">
        <v>38</v>
      </c>
      <c r="M343" s="3" t="s">
        <v>164</v>
      </c>
      <c r="N343" s="3" t="s">
        <v>25</v>
      </c>
      <c r="O343" t="str">
        <f>"2024-09-16"</f>
        <v>2024-09-16</v>
      </c>
      <c r="P343" t="str">
        <f>"2025-09-15"</f>
        <v>2025-09-15</v>
      </c>
    </row>
    <row r="344" spans="1:16" x14ac:dyDescent="0.2">
      <c r="A344" t="str" cm="1">
        <f t="array" ref="A344">_xlfn.LET(
    _xlpm.txt, B344,
    _xlpm.chars, MID(_xlpm.txt, _xlfn.SEQUENCE(LEN(_xlpm.txt)), 1),
    _xlpm.filtered, _xlfn._xlws.FILTER(_xlpm.chars, NOT(ISNUMBER(SEARCH(_xlpm.chars, "ABCDEFGHIJKLMNOPQRSTUVWXYZabcdefghijklmnopqrstuvwxyz")))),
    _xlfn.TEXTJOIN("",, _xlpm.filtered)
)</f>
        <v>000563</v>
      </c>
      <c r="B344" s="3" t="s">
        <v>1466</v>
      </c>
      <c r="C344" s="3" t="s">
        <v>1467</v>
      </c>
      <c r="D344" s="4">
        <v>350</v>
      </c>
      <c r="E344" s="3" t="s">
        <v>1468</v>
      </c>
      <c r="F344" s="3" t="s">
        <v>1469</v>
      </c>
      <c r="G344" s="3" t="s">
        <v>1470</v>
      </c>
      <c r="H344" s="3" t="s">
        <v>59</v>
      </c>
      <c r="I344" s="3" t="s">
        <v>33</v>
      </c>
      <c r="J344" s="3" t="s">
        <v>73</v>
      </c>
      <c r="K344" s="3" t="s">
        <v>37</v>
      </c>
      <c r="L344" s="3" t="s">
        <v>23</v>
      </c>
      <c r="M344" s="3" t="s">
        <v>1471</v>
      </c>
      <c r="N344" s="3" t="s">
        <v>25</v>
      </c>
      <c r="O344" t="str">
        <f>"2025-05-01"</f>
        <v>2025-05-01</v>
      </c>
      <c r="P344" t="str">
        <f>"2026-04-30"</f>
        <v>2026-04-30</v>
      </c>
    </row>
    <row r="345" spans="1:16" x14ac:dyDescent="0.2">
      <c r="A345" t="str" cm="1">
        <f t="array" ref="A345">_xlfn.LET(
    _xlpm.txt, B345,
    _xlpm.chars, MID(_xlpm.txt, _xlfn.SEQUENCE(LEN(_xlpm.txt)), 1),
    _xlpm.filtered, _xlfn._xlws.FILTER(_xlpm.chars, NOT(ISNUMBER(SEARCH(_xlpm.chars, "ABCDEFGHIJKLMNOPQRSTUVWXYZabcdefghijklmnopqrstuvwxyz")))),
    _xlfn.TEXTJOIN("",, _xlpm.filtered)
)</f>
        <v>000565</v>
      </c>
      <c r="B345" s="3" t="s">
        <v>1472</v>
      </c>
      <c r="C345" s="3" t="s">
        <v>1473</v>
      </c>
      <c r="D345" s="4">
        <v>340</v>
      </c>
      <c r="E345" s="3" t="s">
        <v>1474</v>
      </c>
      <c r="F345" s="3" t="s">
        <v>33</v>
      </c>
      <c r="G345" s="3" t="s">
        <v>1475</v>
      </c>
      <c r="H345" s="3" t="s">
        <v>132</v>
      </c>
      <c r="I345" s="3" t="s">
        <v>33</v>
      </c>
      <c r="J345" s="3" t="s">
        <v>21</v>
      </c>
      <c r="K345" s="3" t="s">
        <v>33</v>
      </c>
      <c r="L345" s="3" t="s">
        <v>23</v>
      </c>
      <c r="M345" s="3" t="s">
        <v>33</v>
      </c>
      <c r="N345" s="3" t="s">
        <v>25</v>
      </c>
      <c r="O345" t="str">
        <f>"2025-05-01"</f>
        <v>2025-05-01</v>
      </c>
      <c r="P345" t="str">
        <f>"2026-05-31"</f>
        <v>2026-05-31</v>
      </c>
    </row>
    <row r="346" spans="1:16" x14ac:dyDescent="0.2">
      <c r="A346" t="str" cm="1">
        <f t="array" ref="A346">_xlfn.LET(
    _xlpm.txt, B346,
    _xlpm.chars, MID(_xlpm.txt, _xlfn.SEQUENCE(LEN(_xlpm.txt)), 1),
    _xlpm.filtered, _xlfn._xlws.FILTER(_xlpm.chars, NOT(ISNUMBER(SEARCH(_xlpm.chars, "ABCDEFGHIJKLMNOPQRSTUVWXYZabcdefghijklmnopqrstuvwxyz")))),
    _xlfn.TEXTJOIN("",, _xlpm.filtered)
)</f>
        <v>000567</v>
      </c>
      <c r="B346" s="3" t="s">
        <v>1476</v>
      </c>
      <c r="C346" s="3" t="s">
        <v>1477</v>
      </c>
      <c r="D346" s="4">
        <v>340</v>
      </c>
      <c r="E346" s="3" t="s">
        <v>33</v>
      </c>
      <c r="F346" s="3" t="s">
        <v>1478</v>
      </c>
      <c r="G346" s="3" t="s">
        <v>1479</v>
      </c>
      <c r="H346" s="3" t="s">
        <v>59</v>
      </c>
      <c r="I346" s="3" t="s">
        <v>33</v>
      </c>
      <c r="J346" s="3" t="s">
        <v>119</v>
      </c>
      <c r="K346" s="3" t="s">
        <v>350</v>
      </c>
      <c r="L346" s="3" t="s">
        <v>47</v>
      </c>
      <c r="M346" s="3" t="s">
        <v>144</v>
      </c>
      <c r="N346" s="3" t="s">
        <v>25</v>
      </c>
      <c r="O346" t="str">
        <f>"2024-05-01"</f>
        <v>2024-05-01</v>
      </c>
      <c r="P346" t="str">
        <f>"2025-04-30"</f>
        <v>2025-04-30</v>
      </c>
    </row>
    <row r="347" spans="1:16" x14ac:dyDescent="0.2">
      <c r="A347" t="str" cm="1">
        <f t="array" ref="A347">_xlfn.LET(
    _xlpm.txt, B347,
    _xlpm.chars, MID(_xlpm.txt, _xlfn.SEQUENCE(LEN(_xlpm.txt)), 1),
    _xlpm.filtered, _xlfn._xlws.FILTER(_xlpm.chars, NOT(ISNUMBER(SEARCH(_xlpm.chars, "ABCDEFGHIJKLMNOPQRSTUVWXYZabcdefghijklmnopqrstuvwxyz")))),
    _xlfn.TEXTJOIN("",, _xlpm.filtered)
)</f>
        <v>000568</v>
      </c>
      <c r="B347" s="3" t="s">
        <v>1480</v>
      </c>
      <c r="C347" s="3" t="s">
        <v>1481</v>
      </c>
      <c r="D347" s="4">
        <v>360</v>
      </c>
      <c r="E347" s="3" t="s">
        <v>1482</v>
      </c>
      <c r="F347" s="3" t="s">
        <v>1483</v>
      </c>
      <c r="G347" s="3" t="s">
        <v>1484</v>
      </c>
      <c r="H347" s="3" t="s">
        <v>59</v>
      </c>
      <c r="I347" s="3" t="s">
        <v>20</v>
      </c>
      <c r="J347" s="3" t="s">
        <v>73</v>
      </c>
      <c r="K347" s="3" t="s">
        <v>22</v>
      </c>
      <c r="L347" s="3" t="s">
        <v>38</v>
      </c>
      <c r="M347" s="3" t="s">
        <v>87</v>
      </c>
      <c r="N347" s="3" t="s">
        <v>273</v>
      </c>
      <c r="O347" t="str">
        <f>"2025-05-01"</f>
        <v>2025-05-01</v>
      </c>
      <c r="P347" t="str">
        <f>"2026-04-30"</f>
        <v>2026-04-30</v>
      </c>
    </row>
    <row r="348" spans="1:16" x14ac:dyDescent="0.2">
      <c r="A348" t="str" cm="1">
        <f t="array" ref="A348">_xlfn.LET(
    _xlpm.txt, B348,
    _xlpm.chars, MID(_xlpm.txt, _xlfn.SEQUENCE(LEN(_xlpm.txt)), 1),
    _xlpm.filtered, _xlfn._xlws.FILTER(_xlpm.chars, NOT(ISNUMBER(SEARCH(_xlpm.chars, "ABCDEFGHIJKLMNOPQRSTUVWXYZabcdefghijklmnopqrstuvwxyz")))),
    _xlfn.TEXTJOIN("",, _xlpm.filtered)
)</f>
        <v>000569</v>
      </c>
      <c r="B348" s="3" t="s">
        <v>1485</v>
      </c>
      <c r="C348" s="3" t="s">
        <v>1218</v>
      </c>
      <c r="D348" s="4">
        <v>2100</v>
      </c>
      <c r="E348" s="3" t="s">
        <v>1219</v>
      </c>
      <c r="F348" s="3" t="s">
        <v>1486</v>
      </c>
      <c r="G348" s="3" t="s">
        <v>1487</v>
      </c>
      <c r="H348" s="3" t="s">
        <v>213</v>
      </c>
      <c r="I348" s="3" t="s">
        <v>20</v>
      </c>
      <c r="J348" s="3" t="s">
        <v>73</v>
      </c>
      <c r="K348" s="3" t="s">
        <v>37</v>
      </c>
      <c r="L348" s="3" t="s">
        <v>174</v>
      </c>
      <c r="M348" s="3" t="s">
        <v>62</v>
      </c>
      <c r="N348" s="3" t="s">
        <v>25</v>
      </c>
      <c r="O348" t="str">
        <f>"2025-01-01"</f>
        <v>2025-01-01</v>
      </c>
      <c r="P348" t="str">
        <f>"2026-12-31"</f>
        <v>2026-12-31</v>
      </c>
    </row>
    <row r="349" spans="1:16" x14ac:dyDescent="0.2">
      <c r="A349" t="str" cm="1">
        <f t="array" ref="A349">_xlfn.LET(
    _xlpm.txt, B349,
    _xlpm.chars, MID(_xlpm.txt, _xlfn.SEQUENCE(LEN(_xlpm.txt)), 1),
    _xlpm.filtered, _xlfn._xlws.FILTER(_xlpm.chars, NOT(ISNUMBER(SEARCH(_xlpm.chars, "ABCDEFGHIJKLMNOPQRSTUVWXYZabcdefghijklmnopqrstuvwxyz")))),
    _xlfn.TEXTJOIN("",, _xlpm.filtered)
)</f>
        <v>000573</v>
      </c>
      <c r="B349" s="3" t="s">
        <v>1488</v>
      </c>
      <c r="C349" s="3" t="s">
        <v>1351</v>
      </c>
      <c r="D349" s="4">
        <v>350</v>
      </c>
      <c r="E349" s="3" t="s">
        <v>1352</v>
      </c>
      <c r="F349" s="3" t="s">
        <v>1489</v>
      </c>
      <c r="G349" s="3" t="s">
        <v>1490</v>
      </c>
      <c r="H349" s="3" t="s">
        <v>363</v>
      </c>
      <c r="I349" s="3" t="s">
        <v>33</v>
      </c>
      <c r="J349" s="3" t="s">
        <v>214</v>
      </c>
      <c r="K349" s="3" t="s">
        <v>22</v>
      </c>
      <c r="L349" s="3" t="s">
        <v>47</v>
      </c>
      <c r="M349" s="3" t="s">
        <v>24</v>
      </c>
      <c r="N349" s="3" t="s">
        <v>25</v>
      </c>
      <c r="O349" t="str">
        <f>"2025-07-14"</f>
        <v>2025-07-14</v>
      </c>
      <c r="P349" t="str">
        <f>"2026-07-13"</f>
        <v>2026-07-13</v>
      </c>
    </row>
    <row r="350" spans="1:16" x14ac:dyDescent="0.2">
      <c r="A350" t="str" cm="1">
        <f t="array" ref="A350">_xlfn.LET(
    _xlpm.txt, B350,
    _xlpm.chars, MID(_xlpm.txt, _xlfn.SEQUENCE(LEN(_xlpm.txt)), 1),
    _xlpm.filtered, _xlfn._xlws.FILTER(_xlpm.chars, NOT(ISNUMBER(SEARCH(_xlpm.chars, "ABCDEFGHIJKLMNOPQRSTUVWXYZabcdefghijklmnopqrstuvwxyz")))),
    _xlfn.TEXTJOIN("",, _xlpm.filtered)
)</f>
        <v>000574</v>
      </c>
      <c r="B350" s="3" t="s">
        <v>1491</v>
      </c>
      <c r="C350" s="3" t="s">
        <v>1492</v>
      </c>
      <c r="D350" s="4">
        <v>140</v>
      </c>
      <c r="E350" s="3" t="s">
        <v>33</v>
      </c>
      <c r="F350" s="3" t="s">
        <v>1493</v>
      </c>
      <c r="G350" s="3" t="s">
        <v>1494</v>
      </c>
      <c r="H350" s="3" t="s">
        <v>670</v>
      </c>
      <c r="I350" s="3" t="s">
        <v>20</v>
      </c>
      <c r="J350" s="3" t="s">
        <v>511</v>
      </c>
      <c r="K350" s="3" t="s">
        <v>33</v>
      </c>
      <c r="L350" s="3" t="s">
        <v>296</v>
      </c>
      <c r="M350" s="3" t="s">
        <v>33</v>
      </c>
      <c r="N350" s="3" t="s">
        <v>25</v>
      </c>
      <c r="O350" t="str">
        <f>"2025-05-20"</f>
        <v>2025-05-20</v>
      </c>
      <c r="P350" t="str">
        <f>"2026-05-19"</f>
        <v>2026-05-19</v>
      </c>
    </row>
    <row r="351" spans="1:16" x14ac:dyDescent="0.2">
      <c r="A351" t="str" cm="1">
        <f t="array" ref="A351">_xlfn.LET(
    _xlpm.txt, B351,
    _xlpm.chars, MID(_xlpm.txt, _xlfn.SEQUENCE(LEN(_xlpm.txt)), 1),
    _xlpm.filtered, _xlfn._xlws.FILTER(_xlpm.chars, NOT(ISNUMBER(SEARCH(_xlpm.chars, "ABCDEFGHIJKLMNOPQRSTUVWXYZabcdefghijklmnopqrstuvwxyz")))),
    _xlfn.TEXTJOIN("",, _xlpm.filtered)
)</f>
        <v>000575</v>
      </c>
      <c r="B351" s="3" t="s">
        <v>1495</v>
      </c>
      <c r="C351" s="3" t="s">
        <v>1496</v>
      </c>
      <c r="D351" s="4">
        <v>190</v>
      </c>
      <c r="E351" s="3" t="s">
        <v>33</v>
      </c>
      <c r="F351" s="3" t="s">
        <v>1497</v>
      </c>
      <c r="G351" s="3" t="s">
        <v>1498</v>
      </c>
      <c r="H351" s="3" t="s">
        <v>59</v>
      </c>
      <c r="I351" s="3" t="s">
        <v>33</v>
      </c>
      <c r="J351" s="3" t="s">
        <v>85</v>
      </c>
      <c r="K351" s="3" t="s">
        <v>78</v>
      </c>
      <c r="L351" s="3" t="s">
        <v>38</v>
      </c>
      <c r="M351" s="3" t="s">
        <v>62</v>
      </c>
      <c r="N351" s="3" t="s">
        <v>25</v>
      </c>
      <c r="O351" t="str">
        <f>"2025-05-20"</f>
        <v>2025-05-20</v>
      </c>
      <c r="P351" t="str">
        <f>"2026-05-19"</f>
        <v>2026-05-19</v>
      </c>
    </row>
    <row r="352" spans="1:16" x14ac:dyDescent="0.2">
      <c r="A352" t="str" cm="1">
        <f t="array" ref="A352">_xlfn.LET(
    _xlpm.txt, B352,
    _xlpm.chars, MID(_xlpm.txt, _xlfn.SEQUENCE(LEN(_xlpm.txt)), 1),
    _xlpm.filtered, _xlfn._xlws.FILTER(_xlpm.chars, NOT(ISNUMBER(SEARCH(_xlpm.chars, "ABCDEFGHIJKLMNOPQRSTUVWXYZabcdefghijklmnopqrstuvwxyz")))),
    _xlfn.TEXTJOIN("",, _xlpm.filtered)
)</f>
        <v>000576</v>
      </c>
      <c r="B352" s="3" t="s">
        <v>1499</v>
      </c>
      <c r="C352" s="3" t="s">
        <v>1500</v>
      </c>
      <c r="D352" s="4">
        <v>150</v>
      </c>
      <c r="E352" s="3" t="s">
        <v>1501</v>
      </c>
      <c r="F352" s="3" t="s">
        <v>33</v>
      </c>
      <c r="G352" s="3" t="s">
        <v>1502</v>
      </c>
      <c r="H352" s="3" t="s">
        <v>1503</v>
      </c>
      <c r="I352" s="3" t="s">
        <v>33</v>
      </c>
      <c r="J352" s="3" t="s">
        <v>36</v>
      </c>
      <c r="K352" s="3" t="s">
        <v>37</v>
      </c>
      <c r="L352" s="3" t="s">
        <v>23</v>
      </c>
      <c r="M352" s="3" t="s">
        <v>24</v>
      </c>
      <c r="N352" s="3" t="s">
        <v>25</v>
      </c>
      <c r="O352" t="str">
        <f>"2025-05-20"</f>
        <v>2025-05-20</v>
      </c>
      <c r="P352" t="str">
        <f>"2026-05-19"</f>
        <v>2026-05-19</v>
      </c>
    </row>
    <row r="353" spans="1:16" x14ac:dyDescent="0.2">
      <c r="A353" t="str" cm="1">
        <f t="array" ref="A353">_xlfn.LET(
    _xlpm.txt, B353,
    _xlpm.chars, MID(_xlpm.txt, _xlfn.SEQUENCE(LEN(_xlpm.txt)), 1),
    _xlpm.filtered, _xlfn._xlws.FILTER(_xlpm.chars, NOT(ISNUMBER(SEARCH(_xlpm.chars, "ABCDEFGHIJKLMNOPQRSTUVWXYZabcdefghijklmnopqrstuvwxyz")))),
    _xlfn.TEXTJOIN("",, _xlpm.filtered)
)</f>
        <v>000577</v>
      </c>
      <c r="B353" s="3" t="s">
        <v>1504</v>
      </c>
      <c r="C353" s="3" t="s">
        <v>1505</v>
      </c>
      <c r="D353" s="4">
        <v>100</v>
      </c>
      <c r="E353" s="3" t="s">
        <v>1506</v>
      </c>
      <c r="F353" s="3" t="s">
        <v>33</v>
      </c>
      <c r="G353" s="3" t="s">
        <v>1507</v>
      </c>
      <c r="H353" s="3" t="s">
        <v>945</v>
      </c>
      <c r="I353" s="3" t="s">
        <v>20</v>
      </c>
      <c r="J353" s="3" t="s">
        <v>67</v>
      </c>
      <c r="K353" s="3" t="s">
        <v>37</v>
      </c>
      <c r="L353" s="3" t="s">
        <v>38</v>
      </c>
      <c r="M353" s="3" t="s">
        <v>24</v>
      </c>
      <c r="N353" s="3" t="s">
        <v>273</v>
      </c>
      <c r="O353" t="str">
        <f>"2024-12-01"</f>
        <v>2024-12-01</v>
      </c>
      <c r="P353" t="str">
        <f>"2025-11-30"</f>
        <v>2025-11-30</v>
      </c>
    </row>
    <row r="354" spans="1:16" x14ac:dyDescent="0.2">
      <c r="A354" t="str" cm="1">
        <f t="array" ref="A354">_xlfn.LET(
    _xlpm.txt, B354,
    _xlpm.chars, MID(_xlpm.txt, _xlfn.SEQUENCE(LEN(_xlpm.txt)), 1),
    _xlpm.filtered, _xlfn._xlws.FILTER(_xlpm.chars, NOT(ISNUMBER(SEARCH(_xlpm.chars, "ABCDEFGHIJKLMNOPQRSTUVWXYZabcdefghijklmnopqrstuvwxyz")))),
    _xlfn.TEXTJOIN("",, _xlpm.filtered)
)</f>
        <v>000578</v>
      </c>
      <c r="B354" s="3" t="s">
        <v>1508</v>
      </c>
      <c r="C354" s="3" t="s">
        <v>1505</v>
      </c>
      <c r="D354" s="4">
        <v>100</v>
      </c>
      <c r="E354" s="3" t="s">
        <v>1506</v>
      </c>
      <c r="F354" s="3" t="s">
        <v>33</v>
      </c>
      <c r="G354" s="3" t="s">
        <v>1509</v>
      </c>
      <c r="H354" s="3" t="s">
        <v>941</v>
      </c>
      <c r="I354" s="3" t="s">
        <v>33</v>
      </c>
      <c r="J354" s="3" t="s">
        <v>36</v>
      </c>
      <c r="K354" s="3" t="s">
        <v>37</v>
      </c>
      <c r="L354" s="3" t="s">
        <v>47</v>
      </c>
      <c r="M354" s="3" t="s">
        <v>24</v>
      </c>
      <c r="N354" s="3" t="s">
        <v>273</v>
      </c>
      <c r="O354" t="str">
        <f>"2024-12-01"</f>
        <v>2024-12-01</v>
      </c>
      <c r="P354" t="str">
        <f>"2025-11-30"</f>
        <v>2025-11-30</v>
      </c>
    </row>
    <row r="355" spans="1:16" x14ac:dyDescent="0.2">
      <c r="A355" t="str" cm="1">
        <f t="array" ref="A355">_xlfn.LET(
    _xlpm.txt, B355,
    _xlpm.chars, MID(_xlpm.txt, _xlfn.SEQUENCE(LEN(_xlpm.txt)), 1),
    _xlpm.filtered, _xlfn._xlws.FILTER(_xlpm.chars, NOT(ISNUMBER(SEARCH(_xlpm.chars, "ABCDEFGHIJKLMNOPQRSTUVWXYZabcdefghijklmnopqrstuvwxyz")))),
    _xlfn.TEXTJOIN("",, _xlpm.filtered)
)</f>
        <v>000579</v>
      </c>
      <c r="B355" s="3" t="s">
        <v>1510</v>
      </c>
      <c r="C355" s="3" t="s">
        <v>1511</v>
      </c>
      <c r="D355" s="4">
        <v>150</v>
      </c>
      <c r="E355" s="3" t="s">
        <v>1512</v>
      </c>
      <c r="F355" s="3" t="s">
        <v>33</v>
      </c>
      <c r="G355" s="3" t="s">
        <v>1513</v>
      </c>
      <c r="H355" s="3" t="s">
        <v>1514</v>
      </c>
      <c r="I355" s="3" t="s">
        <v>33</v>
      </c>
      <c r="J355" s="3" t="s">
        <v>67</v>
      </c>
      <c r="K355" s="3" t="s">
        <v>37</v>
      </c>
      <c r="L355" s="3" t="s">
        <v>38</v>
      </c>
      <c r="M355" s="3" t="s">
        <v>24</v>
      </c>
      <c r="N355" s="3" t="s">
        <v>25</v>
      </c>
      <c r="O355" t="str">
        <f>"2025-06-01"</f>
        <v>2025-06-01</v>
      </c>
      <c r="P355" t="str">
        <f>"2026-05-31"</f>
        <v>2026-05-31</v>
      </c>
    </row>
    <row r="356" spans="1:16" x14ac:dyDescent="0.2">
      <c r="A356" t="str" cm="1">
        <f t="array" ref="A356">_xlfn.LET(
    _xlpm.txt, B356,
    _xlpm.chars, MID(_xlpm.txt, _xlfn.SEQUENCE(LEN(_xlpm.txt)), 1),
    _xlpm.filtered, _xlfn._xlws.FILTER(_xlpm.chars, NOT(ISNUMBER(SEARCH(_xlpm.chars, "ABCDEFGHIJKLMNOPQRSTUVWXYZabcdefghijklmnopqrstuvwxyz")))),
    _xlfn.TEXTJOIN("",, _xlpm.filtered)
)</f>
        <v>000580</v>
      </c>
      <c r="B356" s="3" t="s">
        <v>1515</v>
      </c>
      <c r="C356" s="3" t="s">
        <v>1516</v>
      </c>
      <c r="D356" s="4">
        <v>250</v>
      </c>
      <c r="E356" s="3" t="s">
        <v>1517</v>
      </c>
      <c r="F356" s="3" t="s">
        <v>1518</v>
      </c>
      <c r="G356" s="3" t="s">
        <v>1519</v>
      </c>
      <c r="H356" s="3" t="s">
        <v>1520</v>
      </c>
      <c r="I356" s="3" t="s">
        <v>33</v>
      </c>
      <c r="J356" s="3" t="s">
        <v>511</v>
      </c>
      <c r="K356" s="3" t="s">
        <v>37</v>
      </c>
      <c r="L356" s="3" t="s">
        <v>1521</v>
      </c>
      <c r="M356" s="3" t="s">
        <v>24</v>
      </c>
      <c r="N356" s="3" t="s">
        <v>25</v>
      </c>
      <c r="O356" t="str">
        <f>"2025-06-01"</f>
        <v>2025-06-01</v>
      </c>
      <c r="P356" t="str">
        <f>"2026-05-31"</f>
        <v>2026-05-31</v>
      </c>
    </row>
    <row r="357" spans="1:16" x14ac:dyDescent="0.2">
      <c r="A357" t="str" cm="1">
        <f t="array" ref="A357">_xlfn.LET(
    _xlpm.txt, B357,
    _xlpm.chars, MID(_xlpm.txt, _xlfn.SEQUENCE(LEN(_xlpm.txt)), 1),
    _xlpm.filtered, _xlfn._xlws.FILTER(_xlpm.chars, NOT(ISNUMBER(SEARCH(_xlpm.chars, "ABCDEFGHIJKLMNOPQRSTUVWXYZabcdefghijklmnopqrstuvwxyz")))),
    _xlfn.TEXTJOIN("",, _xlpm.filtered)
)</f>
        <v>000582</v>
      </c>
      <c r="B357" s="3" t="s">
        <v>1522</v>
      </c>
      <c r="C357" s="3" t="s">
        <v>1523</v>
      </c>
      <c r="D357" s="4">
        <v>330</v>
      </c>
      <c r="E357" s="3" t="s">
        <v>1524</v>
      </c>
      <c r="F357" s="3" t="s">
        <v>1525</v>
      </c>
      <c r="G357" s="3" t="s">
        <v>1526</v>
      </c>
      <c r="H357" s="3" t="s">
        <v>155</v>
      </c>
      <c r="I357" s="3" t="s">
        <v>20</v>
      </c>
      <c r="J357" s="3" t="s">
        <v>119</v>
      </c>
      <c r="K357" s="3" t="s">
        <v>37</v>
      </c>
      <c r="L357" s="3" t="s">
        <v>174</v>
      </c>
      <c r="M357" s="3" t="s">
        <v>87</v>
      </c>
      <c r="N357" s="3" t="s">
        <v>25</v>
      </c>
      <c r="O357" t="str">
        <f>"2025-01-01"</f>
        <v>2025-01-01</v>
      </c>
      <c r="P357" t="str">
        <f>"2025-12-31"</f>
        <v>2025-12-31</v>
      </c>
    </row>
    <row r="358" spans="1:16" x14ac:dyDescent="0.2">
      <c r="A358" t="str" cm="1">
        <f t="array" ref="A358">_xlfn.LET(
    _xlpm.txt, B358,
    _xlpm.chars, MID(_xlpm.txt, _xlfn.SEQUENCE(LEN(_xlpm.txt)), 1),
    _xlpm.filtered, _xlfn._xlws.FILTER(_xlpm.chars, NOT(ISNUMBER(SEARCH(_xlpm.chars, "ABCDEFGHIJKLMNOPQRSTUVWXYZabcdefghijklmnopqrstuvwxyz")))),
    _xlfn.TEXTJOIN("",, _xlpm.filtered)
)</f>
        <v>000583</v>
      </c>
      <c r="B358" s="3" t="s">
        <v>1527</v>
      </c>
      <c r="C358" s="3" t="s">
        <v>1453</v>
      </c>
      <c r="D358" s="4">
        <v>350</v>
      </c>
      <c r="E358" s="3" t="s">
        <v>1053</v>
      </c>
      <c r="F358" s="3" t="s">
        <v>1528</v>
      </c>
      <c r="G358" s="3" t="s">
        <v>1529</v>
      </c>
      <c r="H358" s="3" t="s">
        <v>59</v>
      </c>
      <c r="I358" s="3" t="s">
        <v>33</v>
      </c>
      <c r="J358" s="3" t="s">
        <v>119</v>
      </c>
      <c r="K358" s="3" t="s">
        <v>22</v>
      </c>
      <c r="L358" s="3" t="s">
        <v>174</v>
      </c>
      <c r="M358" s="3" t="s">
        <v>87</v>
      </c>
      <c r="N358" s="3" t="s">
        <v>25</v>
      </c>
      <c r="O358" t="str">
        <f>"2025-06-01"</f>
        <v>2025-06-01</v>
      </c>
      <c r="P358" t="str">
        <f>"2026-05-31"</f>
        <v>2026-05-31</v>
      </c>
    </row>
    <row r="359" spans="1:16" x14ac:dyDescent="0.2">
      <c r="A359" t="str" cm="1">
        <f t="array" ref="A359">_xlfn.LET(
    _xlpm.txt, B359,
    _xlpm.chars, MID(_xlpm.txt, _xlfn.SEQUENCE(LEN(_xlpm.txt)), 1),
    _xlpm.filtered, _xlfn._xlws.FILTER(_xlpm.chars, NOT(ISNUMBER(SEARCH(_xlpm.chars, "ABCDEFGHIJKLMNOPQRSTUVWXYZabcdefghijklmnopqrstuvwxyz")))),
    _xlfn.TEXTJOIN("",, _xlpm.filtered)
)</f>
        <v>000584</v>
      </c>
      <c r="B359" s="3" t="s">
        <v>1530</v>
      </c>
      <c r="C359" s="3" t="s">
        <v>1531</v>
      </c>
      <c r="D359" s="4">
        <v>400</v>
      </c>
      <c r="E359" s="3" t="s">
        <v>1532</v>
      </c>
      <c r="F359" s="3" t="s">
        <v>1533</v>
      </c>
      <c r="G359" s="3" t="s">
        <v>1534</v>
      </c>
      <c r="H359" s="3" t="s">
        <v>945</v>
      </c>
      <c r="I359" s="3" t="s">
        <v>33</v>
      </c>
      <c r="J359" s="3" t="s">
        <v>214</v>
      </c>
      <c r="K359" s="3" t="s">
        <v>22</v>
      </c>
      <c r="L359" s="3" t="s">
        <v>174</v>
      </c>
      <c r="M359" s="3" t="s">
        <v>24</v>
      </c>
      <c r="N359" s="3" t="s">
        <v>25</v>
      </c>
      <c r="O359" t="str">
        <f>"2025-06-15"</f>
        <v>2025-06-15</v>
      </c>
      <c r="P359" t="str">
        <f>"2026-06-14"</f>
        <v>2026-06-14</v>
      </c>
    </row>
    <row r="360" spans="1:16" x14ac:dyDescent="0.2">
      <c r="A360" t="str" cm="1">
        <f t="array" ref="A360">_xlfn.LET(
    _xlpm.txt, B360,
    _xlpm.chars, MID(_xlpm.txt, _xlfn.SEQUENCE(LEN(_xlpm.txt)), 1),
    _xlpm.filtered, _xlfn._xlws.FILTER(_xlpm.chars, NOT(ISNUMBER(SEARCH(_xlpm.chars, "ABCDEFGHIJKLMNOPQRSTUVWXYZabcdefghijklmnopqrstuvwxyz")))),
    _xlfn.TEXTJOIN("",, _xlpm.filtered)
)</f>
        <v>000585</v>
      </c>
      <c r="B360" s="3" t="s">
        <v>1535</v>
      </c>
      <c r="C360" s="3" t="s">
        <v>1536</v>
      </c>
      <c r="D360" s="4">
        <v>800</v>
      </c>
      <c r="E360" s="3" t="s">
        <v>1532</v>
      </c>
      <c r="F360" s="3" t="s">
        <v>1537</v>
      </c>
      <c r="G360" s="3" t="s">
        <v>1538</v>
      </c>
      <c r="H360" s="3" t="s">
        <v>302</v>
      </c>
      <c r="I360" s="3" t="s">
        <v>33</v>
      </c>
      <c r="J360" s="3" t="s">
        <v>214</v>
      </c>
      <c r="K360" s="3" t="s">
        <v>22</v>
      </c>
      <c r="L360" s="3" t="s">
        <v>290</v>
      </c>
      <c r="M360" s="3" t="s">
        <v>24</v>
      </c>
      <c r="N360" s="3" t="s">
        <v>25</v>
      </c>
      <c r="O360" t="str">
        <f>"2025-06-15"</f>
        <v>2025-06-15</v>
      </c>
      <c r="P360" t="str">
        <f>"2026-06-14"</f>
        <v>2026-06-14</v>
      </c>
    </row>
    <row r="361" spans="1:16" x14ac:dyDescent="0.2">
      <c r="A361" t="str" cm="1">
        <f t="array" ref="A361">_xlfn.LET(
    _xlpm.txt, B361,
    _xlpm.chars, MID(_xlpm.txt, _xlfn.SEQUENCE(LEN(_xlpm.txt)), 1),
    _xlpm.filtered, _xlfn._xlws.FILTER(_xlpm.chars, NOT(ISNUMBER(SEARCH(_xlpm.chars, "ABCDEFGHIJKLMNOPQRSTUVWXYZabcdefghijklmnopqrstuvwxyz")))),
    _xlfn.TEXTJOIN("",, _xlpm.filtered)
)</f>
        <v>000588</v>
      </c>
      <c r="B361" s="3" t="s">
        <v>1539</v>
      </c>
      <c r="C361" s="3" t="s">
        <v>1540</v>
      </c>
      <c r="D361" s="4">
        <v>150</v>
      </c>
      <c r="E361" s="3" t="s">
        <v>1541</v>
      </c>
      <c r="F361" s="3" t="s">
        <v>33</v>
      </c>
      <c r="G361" s="3" t="s">
        <v>1542</v>
      </c>
      <c r="H361" s="3" t="s">
        <v>294</v>
      </c>
      <c r="I361" s="3" t="s">
        <v>33</v>
      </c>
      <c r="J361" s="3" t="s">
        <v>67</v>
      </c>
      <c r="K361" s="3" t="s">
        <v>37</v>
      </c>
      <c r="L361" s="3" t="s">
        <v>38</v>
      </c>
      <c r="M361" s="3" t="s">
        <v>62</v>
      </c>
      <c r="N361" s="3" t="s">
        <v>25</v>
      </c>
      <c r="O361" t="str">
        <f>"2025-07-01"</f>
        <v>2025-07-01</v>
      </c>
      <c r="P361" t="str">
        <f>"2026-06-30"</f>
        <v>2026-06-30</v>
      </c>
    </row>
    <row r="362" spans="1:16" x14ac:dyDescent="0.2">
      <c r="A362" t="str" cm="1">
        <f t="array" ref="A362">_xlfn.LET(
    _xlpm.txt, B362,
    _xlpm.chars, MID(_xlpm.txt, _xlfn.SEQUENCE(LEN(_xlpm.txt)), 1),
    _xlpm.filtered, _xlfn._xlws.FILTER(_xlpm.chars, NOT(ISNUMBER(SEARCH(_xlpm.chars, "ABCDEFGHIJKLMNOPQRSTUVWXYZabcdefghijklmnopqrstuvwxyz")))),
    _xlfn.TEXTJOIN("",, _xlpm.filtered)
)</f>
        <v>000589</v>
      </c>
      <c r="B362" s="3" t="s">
        <v>1543</v>
      </c>
      <c r="C362" s="3" t="s">
        <v>1544</v>
      </c>
      <c r="D362" s="4">
        <v>220</v>
      </c>
      <c r="E362" s="3" t="s">
        <v>33</v>
      </c>
      <c r="F362" s="3" t="s">
        <v>33</v>
      </c>
      <c r="G362" s="3" t="s">
        <v>1545</v>
      </c>
      <c r="H362" s="3" t="s">
        <v>105</v>
      </c>
      <c r="I362" s="3" t="s">
        <v>33</v>
      </c>
      <c r="J362" s="3" t="s">
        <v>67</v>
      </c>
      <c r="K362" s="3" t="s">
        <v>37</v>
      </c>
      <c r="L362" s="3" t="s">
        <v>1546</v>
      </c>
      <c r="M362" s="3" t="s">
        <v>48</v>
      </c>
      <c r="N362" s="3" t="s">
        <v>25</v>
      </c>
      <c r="O362" t="str">
        <f>"2023-07-01"</f>
        <v>2023-07-01</v>
      </c>
      <c r="P362" t="str">
        <f>"2024-06-30"</f>
        <v>2024-06-30</v>
      </c>
    </row>
    <row r="363" spans="1:16" x14ac:dyDescent="0.2">
      <c r="A363" t="str" cm="1">
        <f t="array" ref="A363">_xlfn.LET(
    _xlpm.txt, B363,
    _xlpm.chars, MID(_xlpm.txt, _xlfn.SEQUENCE(LEN(_xlpm.txt)), 1),
    _xlpm.filtered, _xlfn._xlws.FILTER(_xlpm.chars, NOT(ISNUMBER(SEARCH(_xlpm.chars, "ABCDEFGHIJKLMNOPQRSTUVWXYZabcdefghijklmnopqrstuvwxyz")))),
    _xlfn.TEXTJOIN("",, _xlpm.filtered)
)</f>
        <v>000590</v>
      </c>
      <c r="B363" s="3" t="s">
        <v>1547</v>
      </c>
      <c r="C363" s="3" t="s">
        <v>1544</v>
      </c>
      <c r="D363" s="4">
        <v>150</v>
      </c>
      <c r="E363" s="3" t="s">
        <v>33</v>
      </c>
      <c r="F363" s="3" t="s">
        <v>1548</v>
      </c>
      <c r="G363" s="3" t="s">
        <v>1549</v>
      </c>
      <c r="H363" s="3" t="s">
        <v>105</v>
      </c>
      <c r="I363" s="3" t="s">
        <v>33</v>
      </c>
      <c r="J363" s="3" t="s">
        <v>36</v>
      </c>
      <c r="K363" s="3" t="s">
        <v>1546</v>
      </c>
      <c r="L363" s="3" t="s">
        <v>38</v>
      </c>
      <c r="M363" s="3" t="s">
        <v>1546</v>
      </c>
      <c r="N363" s="3" t="s">
        <v>25</v>
      </c>
      <c r="O363" t="str">
        <f>"2023-07-01"</f>
        <v>2023-07-01</v>
      </c>
      <c r="P363" t="str">
        <f>"2024-06-30"</f>
        <v>2024-06-30</v>
      </c>
    </row>
    <row r="364" spans="1:16" x14ac:dyDescent="0.2">
      <c r="A364" t="str" cm="1">
        <f t="array" ref="A364">_xlfn.LET(
    _xlpm.txt, B364,
    _xlpm.chars, MID(_xlpm.txt, _xlfn.SEQUENCE(LEN(_xlpm.txt)), 1),
    _xlpm.filtered, _xlfn._xlws.FILTER(_xlpm.chars, NOT(ISNUMBER(SEARCH(_xlpm.chars, "ABCDEFGHIJKLMNOPQRSTUVWXYZabcdefghijklmnopqrstuvwxyz")))),
    _xlfn.TEXTJOIN("",, _xlpm.filtered)
)</f>
        <v>000591</v>
      </c>
      <c r="B364" s="3" t="s">
        <v>1550</v>
      </c>
      <c r="C364" s="3" t="s">
        <v>1551</v>
      </c>
      <c r="D364" s="4">
        <v>750</v>
      </c>
      <c r="E364" s="3" t="s">
        <v>1219</v>
      </c>
      <c r="F364" s="3" t="s">
        <v>1552</v>
      </c>
      <c r="G364" s="3" t="s">
        <v>1553</v>
      </c>
      <c r="H364" s="3" t="s">
        <v>132</v>
      </c>
      <c r="I364" s="3" t="s">
        <v>20</v>
      </c>
      <c r="J364" s="3" t="s">
        <v>119</v>
      </c>
      <c r="K364" s="3" t="s">
        <v>37</v>
      </c>
      <c r="L364" s="3" t="s">
        <v>38</v>
      </c>
      <c r="M364" s="3" t="s">
        <v>62</v>
      </c>
      <c r="N364" s="3" t="s">
        <v>25</v>
      </c>
      <c r="O364" t="str">
        <f>"2025-01-01"</f>
        <v>2025-01-01</v>
      </c>
      <c r="P364" t="str">
        <f>"2026-12-31"</f>
        <v>2026-12-31</v>
      </c>
    </row>
    <row r="365" spans="1:16" x14ac:dyDescent="0.2">
      <c r="A365" t="str" cm="1">
        <f t="array" ref="A365">_xlfn.LET(
    _xlpm.txt, B365,
    _xlpm.chars, MID(_xlpm.txt, _xlfn.SEQUENCE(LEN(_xlpm.txt)), 1),
    _xlpm.filtered, _xlfn._xlws.FILTER(_xlpm.chars, NOT(ISNUMBER(SEARCH(_xlpm.chars, "ABCDEFGHIJKLMNOPQRSTUVWXYZabcdefghijklmnopqrstuvwxyz")))),
    _xlfn.TEXTJOIN("",, _xlpm.filtered)
)</f>
        <v>000593</v>
      </c>
      <c r="B365" s="3" t="s">
        <v>1554</v>
      </c>
      <c r="C365" s="3" t="s">
        <v>1355</v>
      </c>
      <c r="D365" s="4">
        <v>350</v>
      </c>
      <c r="E365" s="3" t="s">
        <v>1352</v>
      </c>
      <c r="F365" s="3" t="s">
        <v>1555</v>
      </c>
      <c r="G365" s="3" t="s">
        <v>1556</v>
      </c>
      <c r="H365" s="3" t="s">
        <v>132</v>
      </c>
      <c r="I365" s="3" t="s">
        <v>33</v>
      </c>
      <c r="J365" s="3" t="s">
        <v>21</v>
      </c>
      <c r="K365" s="3" t="s">
        <v>174</v>
      </c>
      <c r="L365" s="3" t="s">
        <v>38</v>
      </c>
      <c r="M365" s="3" t="s">
        <v>87</v>
      </c>
      <c r="N365" s="3" t="s">
        <v>25</v>
      </c>
      <c r="O365" t="str">
        <f>"2024-10-01"</f>
        <v>2024-10-01</v>
      </c>
      <c r="P365" t="str">
        <f>"2025-09-30"</f>
        <v>2025-09-30</v>
      </c>
    </row>
    <row r="366" spans="1:16" x14ac:dyDescent="0.2">
      <c r="A366" t="str" cm="1">
        <f t="array" ref="A366">_xlfn.LET(
    _xlpm.txt, B366,
    _xlpm.chars, MID(_xlpm.txt, _xlfn.SEQUENCE(LEN(_xlpm.txt)), 1),
    _xlpm.filtered, _xlfn._xlws.FILTER(_xlpm.chars, NOT(ISNUMBER(SEARCH(_xlpm.chars, "ABCDEFGHIJKLMNOPQRSTUVWXYZabcdefghijklmnopqrstuvwxyz")))),
    _xlfn.TEXTJOIN("",, _xlpm.filtered)
)</f>
        <v>000596</v>
      </c>
      <c r="B366" s="3" t="s">
        <v>1557</v>
      </c>
      <c r="C366" s="3" t="s">
        <v>1558</v>
      </c>
      <c r="D366" s="4">
        <v>300</v>
      </c>
      <c r="E366" s="3" t="s">
        <v>1559</v>
      </c>
      <c r="F366" s="3" t="s">
        <v>1560</v>
      </c>
      <c r="G366" s="3" t="s">
        <v>1561</v>
      </c>
      <c r="H366" s="3" t="s">
        <v>842</v>
      </c>
      <c r="I366" s="3" t="s">
        <v>33</v>
      </c>
      <c r="J366" s="3" t="s">
        <v>85</v>
      </c>
      <c r="K366" s="3" t="s">
        <v>78</v>
      </c>
      <c r="L366" s="3" t="s">
        <v>86</v>
      </c>
      <c r="M366" s="3" t="s">
        <v>33</v>
      </c>
      <c r="N366" s="3" t="s">
        <v>25</v>
      </c>
      <c r="O366" t="str">
        <f>"2025-08-04"</f>
        <v>2025-08-04</v>
      </c>
      <c r="P366" t="str">
        <f>"2026-08-03"</f>
        <v>2026-08-03</v>
      </c>
    </row>
    <row r="367" spans="1:16" x14ac:dyDescent="0.2">
      <c r="A367" t="str" cm="1">
        <f t="array" ref="A367">_xlfn.LET(
    _xlpm.txt, B367,
    _xlpm.chars, MID(_xlpm.txt, _xlfn.SEQUENCE(LEN(_xlpm.txt)), 1),
    _xlpm.filtered, _xlfn._xlws.FILTER(_xlpm.chars, NOT(ISNUMBER(SEARCH(_xlpm.chars, "ABCDEFGHIJKLMNOPQRSTUVWXYZabcdefghijklmnopqrstuvwxyz")))),
    _xlfn.TEXTJOIN("",, _xlpm.filtered)
)</f>
        <v>000599</v>
      </c>
      <c r="B367" s="3" t="s">
        <v>1562</v>
      </c>
      <c r="C367" s="3" t="s">
        <v>1563</v>
      </c>
      <c r="D367" s="4">
        <v>150</v>
      </c>
      <c r="E367" s="3" t="s">
        <v>1564</v>
      </c>
      <c r="F367" s="3" t="s">
        <v>1565</v>
      </c>
      <c r="G367" s="3" t="s">
        <v>1566</v>
      </c>
      <c r="H367" s="3" t="s">
        <v>202</v>
      </c>
      <c r="I367" s="3" t="s">
        <v>33</v>
      </c>
      <c r="J367" s="3" t="s">
        <v>67</v>
      </c>
      <c r="K367" s="3" t="s">
        <v>37</v>
      </c>
      <c r="L367" s="3" t="s">
        <v>174</v>
      </c>
      <c r="M367" s="3" t="s">
        <v>401</v>
      </c>
      <c r="N367" s="3" t="s">
        <v>25</v>
      </c>
      <c r="O367" t="str">
        <f>"2024-09-01"</f>
        <v>2024-09-01</v>
      </c>
      <c r="P367" t="str">
        <f>"2025-08-31"</f>
        <v>2025-08-31</v>
      </c>
    </row>
    <row r="368" spans="1:16" x14ac:dyDescent="0.2">
      <c r="A368" t="str" cm="1">
        <f t="array" ref="A368">_xlfn.LET(
    _xlpm.txt, B368,
    _xlpm.chars, MID(_xlpm.txt, _xlfn.SEQUENCE(LEN(_xlpm.txt)), 1),
    _xlpm.filtered, _xlfn._xlws.FILTER(_xlpm.chars, NOT(ISNUMBER(SEARCH(_xlpm.chars, "ABCDEFGHIJKLMNOPQRSTUVWXYZabcdefghijklmnopqrstuvwxyz")))),
    _xlfn.TEXTJOIN("",, _xlpm.filtered)
)</f>
        <v>000603</v>
      </c>
      <c r="B368" s="3" t="s">
        <v>1567</v>
      </c>
      <c r="C368" s="3" t="s">
        <v>1568</v>
      </c>
      <c r="D368" s="4">
        <v>360</v>
      </c>
      <c r="E368" s="3" t="s">
        <v>1569</v>
      </c>
      <c r="F368" s="3" t="s">
        <v>1570</v>
      </c>
      <c r="G368" s="3" t="s">
        <v>1571</v>
      </c>
      <c r="H368" s="3" t="s">
        <v>294</v>
      </c>
      <c r="I368" s="3" t="s">
        <v>20</v>
      </c>
      <c r="J368" s="3" t="s">
        <v>21</v>
      </c>
      <c r="K368" s="3" t="s">
        <v>138</v>
      </c>
      <c r="L368" s="3" t="s">
        <v>138</v>
      </c>
      <c r="M368" s="3" t="s">
        <v>87</v>
      </c>
      <c r="N368" s="3" t="s">
        <v>25</v>
      </c>
      <c r="O368" t="str">
        <f t="shared" ref="O368:O374" si="4">"2025-09-08"</f>
        <v>2025-09-08</v>
      </c>
      <c r="P368" t="str">
        <f t="shared" ref="P368:P374" si="5">"2026-09-07"</f>
        <v>2026-09-07</v>
      </c>
    </row>
    <row r="369" spans="1:16" x14ac:dyDescent="0.2">
      <c r="A369" t="str" cm="1">
        <f t="array" ref="A369">_xlfn.LET(
    _xlpm.txt, B369,
    _xlpm.chars, MID(_xlpm.txt, _xlfn.SEQUENCE(LEN(_xlpm.txt)), 1),
    _xlpm.filtered, _xlfn._xlws.FILTER(_xlpm.chars, NOT(ISNUMBER(SEARCH(_xlpm.chars, "ABCDEFGHIJKLMNOPQRSTUVWXYZabcdefghijklmnopqrstuvwxyz")))),
    _xlfn.TEXTJOIN("",, _xlpm.filtered)
)</f>
        <v>000604</v>
      </c>
      <c r="B369" s="3" t="s">
        <v>1572</v>
      </c>
      <c r="C369" s="3" t="s">
        <v>1568</v>
      </c>
      <c r="D369" s="4">
        <v>360</v>
      </c>
      <c r="E369" s="3" t="s">
        <v>33</v>
      </c>
      <c r="F369" s="3" t="s">
        <v>1573</v>
      </c>
      <c r="G369" s="3" t="s">
        <v>1574</v>
      </c>
      <c r="H369" s="3" t="s">
        <v>294</v>
      </c>
      <c r="I369" s="3" t="s">
        <v>20</v>
      </c>
      <c r="J369" s="3" t="s">
        <v>21</v>
      </c>
      <c r="K369" s="3" t="s">
        <v>339</v>
      </c>
      <c r="L369" s="3" t="s">
        <v>138</v>
      </c>
      <c r="M369" s="3" t="s">
        <v>87</v>
      </c>
      <c r="N369" s="3" t="s">
        <v>25</v>
      </c>
      <c r="O369" t="str">
        <f t="shared" si="4"/>
        <v>2025-09-08</v>
      </c>
      <c r="P369" t="str">
        <f t="shared" si="5"/>
        <v>2026-09-07</v>
      </c>
    </row>
    <row r="370" spans="1:16" x14ac:dyDescent="0.2">
      <c r="A370" t="str" cm="1">
        <f t="array" ref="A370">_xlfn.LET(
    _xlpm.txt, B370,
    _xlpm.chars, MID(_xlpm.txt, _xlfn.SEQUENCE(LEN(_xlpm.txt)), 1),
    _xlpm.filtered, _xlfn._xlws.FILTER(_xlpm.chars, NOT(ISNUMBER(SEARCH(_xlpm.chars, "ABCDEFGHIJKLMNOPQRSTUVWXYZabcdefghijklmnopqrstuvwxyz")))),
    _xlfn.TEXTJOIN("",, _xlpm.filtered)
)</f>
        <v>000605</v>
      </c>
      <c r="B370" s="3" t="s">
        <v>1575</v>
      </c>
      <c r="C370" s="3" t="s">
        <v>1568</v>
      </c>
      <c r="D370" s="4">
        <v>360</v>
      </c>
      <c r="E370" s="3" t="s">
        <v>33</v>
      </c>
      <c r="F370" s="3" t="s">
        <v>1576</v>
      </c>
      <c r="G370" s="3" t="s">
        <v>1577</v>
      </c>
      <c r="H370" s="3" t="s">
        <v>294</v>
      </c>
      <c r="I370" s="3" t="s">
        <v>20</v>
      </c>
      <c r="J370" s="3" t="s">
        <v>21</v>
      </c>
      <c r="K370" s="3" t="s">
        <v>339</v>
      </c>
      <c r="L370" s="3" t="s">
        <v>138</v>
      </c>
      <c r="M370" s="3" t="s">
        <v>87</v>
      </c>
      <c r="N370" s="3" t="s">
        <v>25</v>
      </c>
      <c r="O370" t="str">
        <f t="shared" si="4"/>
        <v>2025-09-08</v>
      </c>
      <c r="P370" t="str">
        <f t="shared" si="5"/>
        <v>2026-09-07</v>
      </c>
    </row>
    <row r="371" spans="1:16" x14ac:dyDescent="0.2">
      <c r="A371" t="str" cm="1">
        <f t="array" ref="A371">_xlfn.LET(
    _xlpm.txt, B371,
    _xlpm.chars, MID(_xlpm.txt, _xlfn.SEQUENCE(LEN(_xlpm.txt)), 1),
    _xlpm.filtered, _xlfn._xlws.FILTER(_xlpm.chars, NOT(ISNUMBER(SEARCH(_xlpm.chars, "ABCDEFGHIJKLMNOPQRSTUVWXYZabcdefghijklmnopqrstuvwxyz")))),
    _xlfn.TEXTJOIN("",, _xlpm.filtered)
)</f>
        <v>000606</v>
      </c>
      <c r="B371" s="3" t="s">
        <v>1578</v>
      </c>
      <c r="C371" s="3" t="s">
        <v>1568</v>
      </c>
      <c r="D371" s="4">
        <v>360</v>
      </c>
      <c r="E371" s="3" t="s">
        <v>33</v>
      </c>
      <c r="F371" s="3" t="s">
        <v>1579</v>
      </c>
      <c r="G371" s="3" t="s">
        <v>1580</v>
      </c>
      <c r="H371" s="3" t="s">
        <v>294</v>
      </c>
      <c r="I371" s="3" t="s">
        <v>20</v>
      </c>
      <c r="J371" s="3" t="s">
        <v>119</v>
      </c>
      <c r="K371" s="3" t="s">
        <v>37</v>
      </c>
      <c r="L371" s="3" t="s">
        <v>138</v>
      </c>
      <c r="M371" s="3" t="s">
        <v>87</v>
      </c>
      <c r="N371" s="3" t="s">
        <v>25</v>
      </c>
      <c r="O371" t="str">
        <f t="shared" si="4"/>
        <v>2025-09-08</v>
      </c>
      <c r="P371" t="str">
        <f t="shared" si="5"/>
        <v>2026-09-07</v>
      </c>
    </row>
    <row r="372" spans="1:16" x14ac:dyDescent="0.2">
      <c r="A372" t="str" cm="1">
        <f t="array" ref="A372">_xlfn.LET(
    _xlpm.txt, B372,
    _xlpm.chars, MID(_xlpm.txt, _xlfn.SEQUENCE(LEN(_xlpm.txt)), 1),
    _xlpm.filtered, _xlfn._xlws.FILTER(_xlpm.chars, NOT(ISNUMBER(SEARCH(_xlpm.chars, "ABCDEFGHIJKLMNOPQRSTUVWXYZabcdefghijklmnopqrstuvwxyz")))),
    _xlfn.TEXTJOIN("",, _xlpm.filtered)
)</f>
        <v>000607</v>
      </c>
      <c r="B372" s="3" t="s">
        <v>1581</v>
      </c>
      <c r="C372" s="3" t="s">
        <v>1568</v>
      </c>
      <c r="D372" s="4">
        <v>360</v>
      </c>
      <c r="E372" s="3" t="s">
        <v>33</v>
      </c>
      <c r="F372" s="3" t="s">
        <v>33</v>
      </c>
      <c r="G372" s="3" t="s">
        <v>1582</v>
      </c>
      <c r="H372" s="3" t="s">
        <v>294</v>
      </c>
      <c r="I372" s="3" t="s">
        <v>20</v>
      </c>
      <c r="J372" s="3" t="s">
        <v>119</v>
      </c>
      <c r="K372" s="3" t="s">
        <v>37</v>
      </c>
      <c r="L372" s="3" t="s">
        <v>138</v>
      </c>
      <c r="M372" s="3" t="s">
        <v>87</v>
      </c>
      <c r="N372" s="3" t="s">
        <v>25</v>
      </c>
      <c r="O372" t="str">
        <f t="shared" si="4"/>
        <v>2025-09-08</v>
      </c>
      <c r="P372" t="str">
        <f t="shared" si="5"/>
        <v>2026-09-07</v>
      </c>
    </row>
    <row r="373" spans="1:16" x14ac:dyDescent="0.2">
      <c r="A373" t="str" cm="1">
        <f t="array" ref="A373">_xlfn.LET(
    _xlpm.txt, B373,
    _xlpm.chars, MID(_xlpm.txt, _xlfn.SEQUENCE(LEN(_xlpm.txt)), 1),
    _xlpm.filtered, _xlfn._xlws.FILTER(_xlpm.chars, NOT(ISNUMBER(SEARCH(_xlpm.chars, "ABCDEFGHIJKLMNOPQRSTUVWXYZabcdefghijklmnopqrstuvwxyz")))),
    _xlfn.TEXTJOIN("",, _xlpm.filtered)
)</f>
        <v>000608</v>
      </c>
      <c r="B373" s="3" t="s">
        <v>1583</v>
      </c>
      <c r="C373" s="3" t="s">
        <v>1568</v>
      </c>
      <c r="D373" s="4">
        <v>360</v>
      </c>
      <c r="E373" s="3" t="s">
        <v>1468</v>
      </c>
      <c r="F373" s="3" t="s">
        <v>1584</v>
      </c>
      <c r="G373" s="3" t="s">
        <v>1585</v>
      </c>
      <c r="H373" s="3" t="s">
        <v>294</v>
      </c>
      <c r="I373" s="3" t="s">
        <v>20</v>
      </c>
      <c r="J373" s="3" t="s">
        <v>119</v>
      </c>
      <c r="K373" s="3" t="s">
        <v>37</v>
      </c>
      <c r="L373" s="3" t="s">
        <v>138</v>
      </c>
      <c r="M373" s="3" t="s">
        <v>87</v>
      </c>
      <c r="N373" s="3" t="s">
        <v>25</v>
      </c>
      <c r="O373" t="str">
        <f t="shared" si="4"/>
        <v>2025-09-08</v>
      </c>
      <c r="P373" t="str">
        <f t="shared" si="5"/>
        <v>2026-09-07</v>
      </c>
    </row>
    <row r="374" spans="1:16" x14ac:dyDescent="0.2">
      <c r="A374" t="str" cm="1">
        <f t="array" ref="A374">_xlfn.LET(
    _xlpm.txt, B374,
    _xlpm.chars, MID(_xlpm.txt, _xlfn.SEQUENCE(LEN(_xlpm.txt)), 1),
    _xlpm.filtered, _xlfn._xlws.FILTER(_xlpm.chars, NOT(ISNUMBER(SEARCH(_xlpm.chars, "ABCDEFGHIJKLMNOPQRSTUVWXYZabcdefghijklmnopqrstuvwxyz")))),
    _xlfn.TEXTJOIN("",, _xlpm.filtered)
)</f>
        <v>000609</v>
      </c>
      <c r="B374" s="3" t="s">
        <v>1586</v>
      </c>
      <c r="C374" s="3" t="s">
        <v>1568</v>
      </c>
      <c r="D374" s="4">
        <v>360</v>
      </c>
      <c r="E374" s="3" t="s">
        <v>33</v>
      </c>
      <c r="F374" s="3" t="s">
        <v>1587</v>
      </c>
      <c r="G374" s="3" t="s">
        <v>1588</v>
      </c>
      <c r="H374" s="3" t="s">
        <v>294</v>
      </c>
      <c r="I374" s="3" t="s">
        <v>20</v>
      </c>
      <c r="J374" s="3" t="s">
        <v>119</v>
      </c>
      <c r="K374" s="3" t="s">
        <v>37</v>
      </c>
      <c r="L374" s="3" t="s">
        <v>138</v>
      </c>
      <c r="M374" s="3" t="s">
        <v>87</v>
      </c>
      <c r="N374" s="3" t="s">
        <v>25</v>
      </c>
      <c r="O374" t="str">
        <f t="shared" si="4"/>
        <v>2025-09-08</v>
      </c>
      <c r="P374" t="str">
        <f t="shared" si="5"/>
        <v>2026-09-07</v>
      </c>
    </row>
    <row r="375" spans="1:16" x14ac:dyDescent="0.2">
      <c r="A375" t="str" cm="1">
        <f t="array" ref="A375">_xlfn.LET(
    _xlpm.txt, B375,
    _xlpm.chars, MID(_xlpm.txt, _xlfn.SEQUENCE(LEN(_xlpm.txt)), 1),
    _xlpm.filtered, _xlfn._xlws.FILTER(_xlpm.chars, NOT(ISNUMBER(SEARCH(_xlpm.chars, "ABCDEFGHIJKLMNOPQRSTUVWXYZabcdefghijklmnopqrstuvwxyz")))),
    _xlfn.TEXTJOIN("",, _xlpm.filtered)
)</f>
        <v>000610</v>
      </c>
      <c r="B375" s="3" t="s">
        <v>1589</v>
      </c>
      <c r="C375" s="3" t="s">
        <v>1590</v>
      </c>
      <c r="D375" s="4">
        <v>450</v>
      </c>
      <c r="E375" s="3" t="s">
        <v>1591</v>
      </c>
      <c r="F375" s="3" t="s">
        <v>1592</v>
      </c>
      <c r="G375" s="3" t="s">
        <v>1593</v>
      </c>
      <c r="H375" s="3" t="s">
        <v>84</v>
      </c>
      <c r="I375" s="3" t="s">
        <v>550</v>
      </c>
      <c r="J375" s="3" t="s">
        <v>73</v>
      </c>
      <c r="K375" s="3" t="s">
        <v>1316</v>
      </c>
      <c r="L375" s="3" t="s">
        <v>296</v>
      </c>
      <c r="M375" s="3" t="s">
        <v>297</v>
      </c>
      <c r="N375" s="3" t="s">
        <v>25</v>
      </c>
      <c r="O375" t="str">
        <f>"2024-10-01"</f>
        <v>2024-10-01</v>
      </c>
      <c r="P375" t="str">
        <f>"2025-09-30"</f>
        <v>2025-09-30</v>
      </c>
    </row>
    <row r="376" spans="1:16" x14ac:dyDescent="0.2">
      <c r="A376" t="str" cm="1">
        <f t="array" ref="A376">_xlfn.LET(
    _xlpm.txt, B376,
    _xlpm.chars, MID(_xlpm.txt, _xlfn.SEQUENCE(LEN(_xlpm.txt)), 1),
    _xlpm.filtered, _xlfn._xlws.FILTER(_xlpm.chars, NOT(ISNUMBER(SEARCH(_xlpm.chars, "ABCDEFGHIJKLMNOPQRSTUVWXYZabcdefghijklmnopqrstuvwxyz")))),
    _xlfn.TEXTJOIN("",, _xlpm.filtered)
)</f>
        <v>000611</v>
      </c>
      <c r="B376" s="3" t="s">
        <v>1594</v>
      </c>
      <c r="C376" s="3" t="s">
        <v>1595</v>
      </c>
      <c r="D376" s="4">
        <v>150</v>
      </c>
      <c r="E376" s="3" t="s">
        <v>1596</v>
      </c>
      <c r="F376" s="3" t="s">
        <v>33</v>
      </c>
      <c r="G376" s="3" t="s">
        <v>1597</v>
      </c>
      <c r="H376" s="3" t="s">
        <v>125</v>
      </c>
      <c r="I376" s="3" t="s">
        <v>33</v>
      </c>
      <c r="J376" s="3" t="s">
        <v>36</v>
      </c>
      <c r="K376" s="3" t="s">
        <v>37</v>
      </c>
      <c r="L376" s="3" t="s">
        <v>38</v>
      </c>
      <c r="M376" s="3" t="s">
        <v>87</v>
      </c>
      <c r="N376" s="3" t="s">
        <v>25</v>
      </c>
      <c r="O376" t="str">
        <f>"2025-09-15"</f>
        <v>2025-09-15</v>
      </c>
      <c r="P376" t="str">
        <f>"2026-09-14"</f>
        <v>2026-09-14</v>
      </c>
    </row>
    <row r="377" spans="1:16" x14ac:dyDescent="0.2">
      <c r="A377" t="str" cm="1">
        <f t="array" ref="A377">_xlfn.LET(
    _xlpm.txt, B377,
    _xlpm.chars, MID(_xlpm.txt, _xlfn.SEQUENCE(LEN(_xlpm.txt)), 1),
    _xlpm.filtered, _xlfn._xlws.FILTER(_xlpm.chars, NOT(ISNUMBER(SEARCH(_xlpm.chars, "ABCDEFGHIJKLMNOPQRSTUVWXYZabcdefghijklmnopqrstuvwxyz")))),
    _xlfn.TEXTJOIN("",, _xlpm.filtered)
)</f>
        <v>000613</v>
      </c>
      <c r="B377" s="3" t="s">
        <v>1598</v>
      </c>
      <c r="C377" s="3" t="s">
        <v>1599</v>
      </c>
      <c r="D377" s="4">
        <v>130</v>
      </c>
      <c r="E377" s="3" t="s">
        <v>1600</v>
      </c>
      <c r="F377" s="3" t="s">
        <v>33</v>
      </c>
      <c r="G377" s="3" t="s">
        <v>1601</v>
      </c>
      <c r="H377" s="3" t="s">
        <v>623</v>
      </c>
      <c r="I377" s="3" t="s">
        <v>33</v>
      </c>
      <c r="J377" s="3" t="s">
        <v>36</v>
      </c>
      <c r="K377" s="3" t="s">
        <v>33</v>
      </c>
      <c r="L377" s="3" t="s">
        <v>38</v>
      </c>
      <c r="M377" s="3" t="s">
        <v>33</v>
      </c>
      <c r="N377" s="3" t="s">
        <v>25</v>
      </c>
      <c r="O377" t="str">
        <f>"2024-09-20"</f>
        <v>2024-09-20</v>
      </c>
      <c r="P377" t="str">
        <f>"2025-09-19"</f>
        <v>2025-09-19</v>
      </c>
    </row>
    <row r="378" spans="1:16" x14ac:dyDescent="0.2">
      <c r="A378" t="str" cm="1">
        <f t="array" ref="A378">_xlfn.LET(
    _xlpm.txt, B378,
    _xlpm.chars, MID(_xlpm.txt, _xlfn.SEQUENCE(LEN(_xlpm.txt)), 1),
    _xlpm.filtered, _xlfn._xlws.FILTER(_xlpm.chars, NOT(ISNUMBER(SEARCH(_xlpm.chars, "ABCDEFGHIJKLMNOPQRSTUVWXYZabcdefghijklmnopqrstuvwxyz")))),
    _xlfn.TEXTJOIN("",, _xlpm.filtered)
)</f>
        <v>000614</v>
      </c>
      <c r="B378" s="3" t="s">
        <v>1602</v>
      </c>
      <c r="C378" s="3" t="s">
        <v>1603</v>
      </c>
      <c r="D378" s="4">
        <v>300</v>
      </c>
      <c r="E378" s="3" t="s">
        <v>1604</v>
      </c>
      <c r="F378" s="3" t="s">
        <v>33</v>
      </c>
      <c r="G378" s="3" t="s">
        <v>1605</v>
      </c>
      <c r="H378" s="3" t="s">
        <v>824</v>
      </c>
      <c r="I378" s="3" t="s">
        <v>33</v>
      </c>
      <c r="J378" s="3" t="s">
        <v>21</v>
      </c>
      <c r="K378" s="3" t="s">
        <v>33</v>
      </c>
      <c r="L378" s="3" t="s">
        <v>38</v>
      </c>
      <c r="M378" s="3" t="s">
        <v>33</v>
      </c>
      <c r="N378" s="3" t="s">
        <v>25</v>
      </c>
      <c r="O378" t="str">
        <f>"2022-10-01"</f>
        <v>2022-10-01</v>
      </c>
      <c r="P378" t="str">
        <f>"2023-09-30"</f>
        <v>2023-09-30</v>
      </c>
    </row>
    <row r="379" spans="1:16" x14ac:dyDescent="0.2">
      <c r="A379" t="str" cm="1">
        <f t="array" ref="A379">_xlfn.LET(
    _xlpm.txt, B379,
    _xlpm.chars, MID(_xlpm.txt, _xlfn.SEQUENCE(LEN(_xlpm.txt)), 1),
    _xlpm.filtered, _xlfn._xlws.FILTER(_xlpm.chars, NOT(ISNUMBER(SEARCH(_xlpm.chars, "ABCDEFGHIJKLMNOPQRSTUVWXYZabcdefghijklmnopqrstuvwxyz")))),
    _xlfn.TEXTJOIN("",, _xlpm.filtered)
)</f>
        <v>000615</v>
      </c>
      <c r="B379" s="3" t="s">
        <v>1606</v>
      </c>
      <c r="C379" s="3" t="s">
        <v>1603</v>
      </c>
      <c r="D379" s="4">
        <v>300</v>
      </c>
      <c r="E379" s="3" t="s">
        <v>1604</v>
      </c>
      <c r="F379" s="3" t="s">
        <v>33</v>
      </c>
      <c r="G379" s="3" t="s">
        <v>1607</v>
      </c>
      <c r="H379" s="3" t="s">
        <v>132</v>
      </c>
      <c r="I379" s="3" t="s">
        <v>33</v>
      </c>
      <c r="J379" s="3" t="s">
        <v>119</v>
      </c>
      <c r="K379" s="3" t="s">
        <v>33</v>
      </c>
      <c r="L379" s="3" t="s">
        <v>138</v>
      </c>
      <c r="M379" s="3" t="s">
        <v>33</v>
      </c>
      <c r="N379" s="3" t="s">
        <v>25</v>
      </c>
      <c r="O379" t="str">
        <f>"2022-10-01"</f>
        <v>2022-10-01</v>
      </c>
      <c r="P379" t="str">
        <f>"2023-09-30"</f>
        <v>2023-09-30</v>
      </c>
    </row>
    <row r="380" spans="1:16" x14ac:dyDescent="0.2">
      <c r="A380" t="str" cm="1">
        <f t="array" ref="A380">_xlfn.LET(
    _xlpm.txt, B380,
    _xlpm.chars, MID(_xlpm.txt, _xlfn.SEQUENCE(LEN(_xlpm.txt)), 1),
    _xlpm.filtered, _xlfn._xlws.FILTER(_xlpm.chars, NOT(ISNUMBER(SEARCH(_xlpm.chars, "ABCDEFGHIJKLMNOPQRSTUVWXYZabcdefghijklmnopqrstuvwxyz")))),
    _xlfn.TEXTJOIN("",, _xlpm.filtered)
)</f>
        <v>000617</v>
      </c>
      <c r="B380" s="3" t="s">
        <v>1608</v>
      </c>
      <c r="C380" s="3" t="s">
        <v>1609</v>
      </c>
      <c r="D380" s="4">
        <v>140</v>
      </c>
      <c r="E380" s="3" t="s">
        <v>1610</v>
      </c>
      <c r="F380" s="3" t="s">
        <v>33</v>
      </c>
      <c r="G380" s="3" t="s">
        <v>1611</v>
      </c>
      <c r="H380" s="3" t="s">
        <v>1612</v>
      </c>
      <c r="I380" s="3" t="s">
        <v>33</v>
      </c>
      <c r="J380" s="3" t="s">
        <v>511</v>
      </c>
      <c r="K380" s="3" t="s">
        <v>37</v>
      </c>
      <c r="L380" s="3" t="s">
        <v>33</v>
      </c>
      <c r="M380" s="3" t="s">
        <v>24</v>
      </c>
      <c r="N380" s="3" t="s">
        <v>25</v>
      </c>
      <c r="O380" t="str">
        <f>"2024-09-20"</f>
        <v>2024-09-20</v>
      </c>
      <c r="P380" t="str">
        <f>"2025-09-19"</f>
        <v>2025-09-19</v>
      </c>
    </row>
    <row r="381" spans="1:16" x14ac:dyDescent="0.2">
      <c r="A381" t="str" cm="1">
        <f t="array" ref="A381">_xlfn.LET(
    _xlpm.txt, B381,
    _xlpm.chars, MID(_xlpm.txt, _xlfn.SEQUENCE(LEN(_xlpm.txt)), 1),
    _xlpm.filtered, _xlfn._xlws.FILTER(_xlpm.chars, NOT(ISNUMBER(SEARCH(_xlpm.chars, "ABCDEFGHIJKLMNOPQRSTUVWXYZabcdefghijklmnopqrstuvwxyz")))),
    _xlfn.TEXTJOIN("",, _xlpm.filtered)
)</f>
        <v>000618</v>
      </c>
      <c r="B381" s="3" t="s">
        <v>1613</v>
      </c>
      <c r="C381" s="3" t="s">
        <v>1614</v>
      </c>
      <c r="D381" s="4">
        <v>160</v>
      </c>
      <c r="E381" s="3" t="s">
        <v>1615</v>
      </c>
      <c r="F381" s="3" t="s">
        <v>33</v>
      </c>
      <c r="G381" s="3" t="s">
        <v>1616</v>
      </c>
      <c r="H381" s="3" t="s">
        <v>270</v>
      </c>
      <c r="I381" s="3" t="s">
        <v>550</v>
      </c>
      <c r="J381" s="3" t="s">
        <v>67</v>
      </c>
      <c r="K381" s="3" t="s">
        <v>37</v>
      </c>
      <c r="L381" s="3" t="s">
        <v>38</v>
      </c>
      <c r="M381" s="3" t="s">
        <v>24</v>
      </c>
      <c r="N381" s="3" t="s">
        <v>25</v>
      </c>
      <c r="O381" t="str">
        <f>"2022-10-01"</f>
        <v>2022-10-01</v>
      </c>
      <c r="P381" t="str">
        <f>"2023-09-30"</f>
        <v>2023-09-30</v>
      </c>
    </row>
    <row r="382" spans="1:16" x14ac:dyDescent="0.2">
      <c r="A382" t="str" cm="1">
        <f t="array" ref="A382">_xlfn.LET(
    _xlpm.txt, B382,
    _xlpm.chars, MID(_xlpm.txt, _xlfn.SEQUENCE(LEN(_xlpm.txt)), 1),
    _xlpm.filtered, _xlfn._xlws.FILTER(_xlpm.chars, NOT(ISNUMBER(SEARCH(_xlpm.chars, "ABCDEFGHIJKLMNOPQRSTUVWXYZabcdefghijklmnopqrstuvwxyz")))),
    _xlfn.TEXTJOIN("",, _xlpm.filtered)
)</f>
        <v>000619</v>
      </c>
      <c r="B382" s="3" t="s">
        <v>1617</v>
      </c>
      <c r="C382" s="3" t="s">
        <v>1618</v>
      </c>
      <c r="D382" s="4">
        <v>180</v>
      </c>
      <c r="E382" s="3" t="s">
        <v>848</v>
      </c>
      <c r="F382" s="3" t="s">
        <v>33</v>
      </c>
      <c r="G382" s="3" t="s">
        <v>1619</v>
      </c>
      <c r="H382" s="3" t="s">
        <v>928</v>
      </c>
      <c r="I382" s="3" t="s">
        <v>33</v>
      </c>
      <c r="J382" s="3" t="s">
        <v>85</v>
      </c>
      <c r="K382" s="3" t="s">
        <v>22</v>
      </c>
      <c r="L382" s="3" t="s">
        <v>38</v>
      </c>
      <c r="M382" s="3" t="s">
        <v>164</v>
      </c>
      <c r="N382" s="3" t="s">
        <v>25</v>
      </c>
      <c r="O382" t="str">
        <f>"2024-10-01"</f>
        <v>2024-10-01</v>
      </c>
      <c r="P382" t="str">
        <f>"2025-09-30"</f>
        <v>2025-09-30</v>
      </c>
    </row>
    <row r="383" spans="1:16" x14ac:dyDescent="0.2">
      <c r="A383" t="str" cm="1">
        <f t="array" ref="A383">_xlfn.LET(
    _xlpm.txt, B383,
    _xlpm.chars, MID(_xlpm.txt, _xlfn.SEQUENCE(LEN(_xlpm.txt)), 1),
    _xlpm.filtered, _xlfn._xlws.FILTER(_xlpm.chars, NOT(ISNUMBER(SEARCH(_xlpm.chars, "ABCDEFGHIJKLMNOPQRSTUVWXYZabcdefghijklmnopqrstuvwxyz")))),
    _xlfn.TEXTJOIN("",, _xlpm.filtered)
)</f>
        <v>000620</v>
      </c>
      <c r="B383" s="3" t="s">
        <v>1620</v>
      </c>
      <c r="C383" s="3" t="s">
        <v>436</v>
      </c>
      <c r="D383" s="4">
        <v>600</v>
      </c>
      <c r="E383" s="3" t="s">
        <v>434</v>
      </c>
      <c r="F383" s="3" t="s">
        <v>1621</v>
      </c>
      <c r="G383" s="3" t="s">
        <v>1622</v>
      </c>
      <c r="H383" s="3" t="s">
        <v>59</v>
      </c>
      <c r="I383" s="3" t="s">
        <v>20</v>
      </c>
      <c r="J383" s="3" t="s">
        <v>229</v>
      </c>
      <c r="K383" s="3" t="s">
        <v>156</v>
      </c>
      <c r="L383" s="3" t="s">
        <v>156</v>
      </c>
      <c r="M383" s="3" t="s">
        <v>156</v>
      </c>
      <c r="N383" s="3" t="s">
        <v>25</v>
      </c>
      <c r="O383" t="str">
        <f>"2024-10-15"</f>
        <v>2024-10-15</v>
      </c>
      <c r="P383" t="str">
        <f>"2025-10-14"</f>
        <v>2025-10-14</v>
      </c>
    </row>
    <row r="384" spans="1:16" x14ac:dyDescent="0.2">
      <c r="A384" t="str" cm="1">
        <f t="array" ref="A384">_xlfn.LET(
    _xlpm.txt, B384,
    _xlpm.chars, MID(_xlpm.txt, _xlfn.SEQUENCE(LEN(_xlpm.txt)), 1),
    _xlpm.filtered, _xlfn._xlws.FILTER(_xlpm.chars, NOT(ISNUMBER(SEARCH(_xlpm.chars, "ABCDEFGHIJKLMNOPQRSTUVWXYZabcdefghijklmnopqrstuvwxyz")))),
    _xlfn.TEXTJOIN("",, _xlpm.filtered)
)</f>
        <v>000621</v>
      </c>
      <c r="B384" s="3" t="s">
        <v>1623</v>
      </c>
      <c r="C384" s="3" t="s">
        <v>1624</v>
      </c>
      <c r="D384" s="4">
        <v>550</v>
      </c>
      <c r="E384" s="3" t="s">
        <v>434</v>
      </c>
      <c r="F384" s="3" t="s">
        <v>33</v>
      </c>
      <c r="G384" s="3" t="s">
        <v>1625</v>
      </c>
      <c r="H384" s="3" t="s">
        <v>84</v>
      </c>
      <c r="I384" s="3" t="s">
        <v>20</v>
      </c>
      <c r="J384" s="3" t="s">
        <v>214</v>
      </c>
      <c r="K384" s="3" t="s">
        <v>156</v>
      </c>
      <c r="L384" s="3" t="s">
        <v>156</v>
      </c>
      <c r="M384" s="3" t="s">
        <v>156</v>
      </c>
      <c r="N384" s="3" t="s">
        <v>25</v>
      </c>
      <c r="O384" t="str">
        <f>"2024-10-15"</f>
        <v>2024-10-15</v>
      </c>
      <c r="P384" t="str">
        <f>"2025-10-14"</f>
        <v>2025-10-14</v>
      </c>
    </row>
    <row r="385" spans="1:16" x14ac:dyDescent="0.2">
      <c r="A385" t="str" cm="1">
        <f t="array" ref="A385">_xlfn.LET(
    _xlpm.txt, B385,
    _xlpm.chars, MID(_xlpm.txt, _xlfn.SEQUENCE(LEN(_xlpm.txt)), 1),
    _xlpm.filtered, _xlfn._xlws.FILTER(_xlpm.chars, NOT(ISNUMBER(SEARCH(_xlpm.chars, "ABCDEFGHIJKLMNOPQRSTUVWXYZabcdefghijklmnopqrstuvwxyz")))),
    _xlfn.TEXTJOIN("",, _xlpm.filtered)
)</f>
        <v>000622</v>
      </c>
      <c r="B385" s="3" t="s">
        <v>1626</v>
      </c>
      <c r="C385" s="3" t="s">
        <v>1103</v>
      </c>
      <c r="D385" s="4">
        <v>140</v>
      </c>
      <c r="E385" s="3" t="s">
        <v>1104</v>
      </c>
      <c r="F385" s="3" t="s">
        <v>1627</v>
      </c>
      <c r="G385" s="3" t="s">
        <v>1628</v>
      </c>
      <c r="H385" s="3" t="s">
        <v>98</v>
      </c>
      <c r="I385" s="3" t="s">
        <v>33</v>
      </c>
      <c r="J385" s="3" t="s">
        <v>67</v>
      </c>
      <c r="K385" s="3" t="s">
        <v>196</v>
      </c>
      <c r="L385" s="3" t="s">
        <v>174</v>
      </c>
      <c r="M385" s="3" t="s">
        <v>24</v>
      </c>
      <c r="N385" s="3" t="s">
        <v>25</v>
      </c>
      <c r="O385" t="str">
        <f>"2024-10-15"</f>
        <v>2024-10-15</v>
      </c>
      <c r="P385" t="str">
        <f>"2025-10-14"</f>
        <v>2025-10-14</v>
      </c>
    </row>
    <row r="386" spans="1:16" x14ac:dyDescent="0.2">
      <c r="A386" t="str" cm="1">
        <f t="array" ref="A386">_xlfn.LET(
    _xlpm.txt, B386,
    _xlpm.chars, MID(_xlpm.txt, _xlfn.SEQUENCE(LEN(_xlpm.txt)), 1),
    _xlpm.filtered, _xlfn._xlws.FILTER(_xlpm.chars, NOT(ISNUMBER(SEARCH(_xlpm.chars, "ABCDEFGHIJKLMNOPQRSTUVWXYZabcdefghijklmnopqrstuvwxyz")))),
    _xlfn.TEXTJOIN("",, _xlpm.filtered)
)</f>
        <v>000625</v>
      </c>
      <c r="B386" s="3" t="s">
        <v>1629</v>
      </c>
      <c r="C386" s="3" t="s">
        <v>1630</v>
      </c>
      <c r="D386" s="4">
        <v>306</v>
      </c>
      <c r="E386" s="3" t="s">
        <v>33</v>
      </c>
      <c r="F386" s="3" t="s">
        <v>1631</v>
      </c>
      <c r="G386" s="3" t="s">
        <v>1632</v>
      </c>
      <c r="H386" s="3" t="s">
        <v>84</v>
      </c>
      <c r="I386" s="3" t="s">
        <v>20</v>
      </c>
      <c r="J386" s="3" t="s">
        <v>36</v>
      </c>
      <c r="K386" s="3" t="s">
        <v>33</v>
      </c>
      <c r="L386" s="3" t="s">
        <v>33</v>
      </c>
      <c r="M386" s="3" t="s">
        <v>33</v>
      </c>
      <c r="N386" s="3" t="s">
        <v>25</v>
      </c>
      <c r="O386" t="str">
        <f t="shared" ref="O386:O403" si="6">"2024-09-06"</f>
        <v>2024-09-06</v>
      </c>
      <c r="P386" t="str">
        <f t="shared" ref="P386:P403" si="7">"2026-09-05"</f>
        <v>2026-09-05</v>
      </c>
    </row>
    <row r="387" spans="1:16" x14ac:dyDescent="0.2">
      <c r="A387" t="str" cm="1">
        <f t="array" ref="A387">_xlfn.LET(
    _xlpm.txt, B387,
    _xlpm.chars, MID(_xlpm.txt, _xlfn.SEQUENCE(LEN(_xlpm.txt)), 1),
    _xlpm.filtered, _xlfn._xlws.FILTER(_xlpm.chars, NOT(ISNUMBER(SEARCH(_xlpm.chars, "ABCDEFGHIJKLMNOPQRSTUVWXYZabcdefghijklmnopqrstuvwxyz")))),
    _xlfn.TEXTJOIN("",, _xlpm.filtered)
)</f>
        <v>000626</v>
      </c>
      <c r="B387" s="3" t="s">
        <v>1633</v>
      </c>
      <c r="C387" s="3" t="s">
        <v>1630</v>
      </c>
      <c r="D387" s="4">
        <v>306</v>
      </c>
      <c r="E387" s="3" t="s">
        <v>33</v>
      </c>
      <c r="F387" s="3" t="s">
        <v>1634</v>
      </c>
      <c r="G387" s="3" t="s">
        <v>1635</v>
      </c>
      <c r="H387" s="3" t="s">
        <v>824</v>
      </c>
      <c r="I387" s="3" t="s">
        <v>20</v>
      </c>
      <c r="J387" s="3" t="s">
        <v>85</v>
      </c>
      <c r="K387" s="3" t="s">
        <v>33</v>
      </c>
      <c r="L387" s="3" t="s">
        <v>38</v>
      </c>
      <c r="M387" s="3" t="s">
        <v>33</v>
      </c>
      <c r="N387" s="3" t="s">
        <v>25</v>
      </c>
      <c r="O387" t="str">
        <f t="shared" si="6"/>
        <v>2024-09-06</v>
      </c>
      <c r="P387" t="str">
        <f t="shared" si="7"/>
        <v>2026-09-05</v>
      </c>
    </row>
    <row r="388" spans="1:16" x14ac:dyDescent="0.2">
      <c r="A388" t="str" cm="1">
        <f t="array" ref="A388">_xlfn.LET(
    _xlpm.txt, B388,
    _xlpm.chars, MID(_xlpm.txt, _xlfn.SEQUENCE(LEN(_xlpm.txt)), 1),
    _xlpm.filtered, _xlfn._xlws.FILTER(_xlpm.chars, NOT(ISNUMBER(SEARCH(_xlpm.chars, "ABCDEFGHIJKLMNOPQRSTUVWXYZabcdefghijklmnopqrstuvwxyz")))),
    _xlfn.TEXTJOIN("",, _xlpm.filtered)
)</f>
        <v>000627</v>
      </c>
      <c r="B388" s="3" t="s">
        <v>1636</v>
      </c>
      <c r="C388" s="3" t="s">
        <v>1630</v>
      </c>
      <c r="D388" s="4">
        <v>306</v>
      </c>
      <c r="E388" s="3" t="s">
        <v>33</v>
      </c>
      <c r="F388" s="3" t="s">
        <v>1637</v>
      </c>
      <c r="G388" s="3" t="s">
        <v>1638</v>
      </c>
      <c r="H388" s="3" t="s">
        <v>84</v>
      </c>
      <c r="I388" s="3" t="s">
        <v>20</v>
      </c>
      <c r="J388" s="3" t="s">
        <v>60</v>
      </c>
      <c r="K388" s="3" t="s">
        <v>33</v>
      </c>
      <c r="L388" s="3" t="s">
        <v>174</v>
      </c>
      <c r="M388" s="3" t="s">
        <v>33</v>
      </c>
      <c r="N388" s="3" t="s">
        <v>25</v>
      </c>
      <c r="O388" t="str">
        <f t="shared" si="6"/>
        <v>2024-09-06</v>
      </c>
      <c r="P388" t="str">
        <f t="shared" si="7"/>
        <v>2026-09-05</v>
      </c>
    </row>
    <row r="389" spans="1:16" x14ac:dyDescent="0.2">
      <c r="A389" t="str" cm="1">
        <f t="array" ref="A389">_xlfn.LET(
    _xlpm.txt, B389,
    _xlpm.chars, MID(_xlpm.txt, _xlfn.SEQUENCE(LEN(_xlpm.txt)), 1),
    _xlpm.filtered, _xlfn._xlws.FILTER(_xlpm.chars, NOT(ISNUMBER(SEARCH(_xlpm.chars, "ABCDEFGHIJKLMNOPQRSTUVWXYZabcdefghijklmnopqrstuvwxyz")))),
    _xlfn.TEXTJOIN("",, _xlpm.filtered)
)</f>
        <v>000628</v>
      </c>
      <c r="B389" s="3" t="s">
        <v>1639</v>
      </c>
      <c r="C389" s="3" t="s">
        <v>1630</v>
      </c>
      <c r="D389" s="4">
        <v>306</v>
      </c>
      <c r="E389" s="3" t="s">
        <v>1640</v>
      </c>
      <c r="F389" s="3" t="s">
        <v>33</v>
      </c>
      <c r="G389" s="3" t="s">
        <v>1641</v>
      </c>
      <c r="H389" s="3" t="s">
        <v>132</v>
      </c>
      <c r="I389" s="3" t="s">
        <v>20</v>
      </c>
      <c r="J389" s="3" t="s">
        <v>60</v>
      </c>
      <c r="K389" s="3" t="s">
        <v>33</v>
      </c>
      <c r="L389" s="3" t="s">
        <v>38</v>
      </c>
      <c r="M389" s="3" t="s">
        <v>33</v>
      </c>
      <c r="N389" s="3" t="s">
        <v>25</v>
      </c>
      <c r="O389" t="str">
        <f t="shared" si="6"/>
        <v>2024-09-06</v>
      </c>
      <c r="P389" t="str">
        <f t="shared" si="7"/>
        <v>2026-09-05</v>
      </c>
    </row>
    <row r="390" spans="1:16" x14ac:dyDescent="0.2">
      <c r="A390" t="str" cm="1">
        <f t="array" ref="A390">_xlfn.LET(
    _xlpm.txt, B390,
    _xlpm.chars, MID(_xlpm.txt, _xlfn.SEQUENCE(LEN(_xlpm.txt)), 1),
    _xlpm.filtered, _xlfn._xlws.FILTER(_xlpm.chars, NOT(ISNUMBER(SEARCH(_xlpm.chars, "ABCDEFGHIJKLMNOPQRSTUVWXYZabcdefghijklmnopqrstuvwxyz")))),
    _xlfn.TEXTJOIN("",, _xlpm.filtered)
)</f>
        <v>000630</v>
      </c>
      <c r="B390" s="3" t="s">
        <v>1642</v>
      </c>
      <c r="C390" s="3" t="s">
        <v>1630</v>
      </c>
      <c r="D390" s="4">
        <v>306</v>
      </c>
      <c r="E390" s="3" t="s">
        <v>33</v>
      </c>
      <c r="F390" s="3" t="s">
        <v>1643</v>
      </c>
      <c r="G390" s="3" t="s">
        <v>1644</v>
      </c>
      <c r="H390" s="3" t="s">
        <v>84</v>
      </c>
      <c r="I390" s="3" t="s">
        <v>20</v>
      </c>
      <c r="J390" s="3" t="s">
        <v>60</v>
      </c>
      <c r="K390" s="3" t="s">
        <v>33</v>
      </c>
      <c r="L390" s="3" t="s">
        <v>38</v>
      </c>
      <c r="M390" s="3" t="s">
        <v>33</v>
      </c>
      <c r="N390" s="3" t="s">
        <v>25</v>
      </c>
      <c r="O390" t="str">
        <f t="shared" si="6"/>
        <v>2024-09-06</v>
      </c>
      <c r="P390" t="str">
        <f t="shared" si="7"/>
        <v>2026-09-05</v>
      </c>
    </row>
    <row r="391" spans="1:16" x14ac:dyDescent="0.2">
      <c r="A391" t="str" cm="1">
        <f t="array" ref="A391">_xlfn.LET(
    _xlpm.txt, B391,
    _xlpm.chars, MID(_xlpm.txt, _xlfn.SEQUENCE(LEN(_xlpm.txt)), 1),
    _xlpm.filtered, _xlfn._xlws.FILTER(_xlpm.chars, NOT(ISNUMBER(SEARCH(_xlpm.chars, "ABCDEFGHIJKLMNOPQRSTUVWXYZabcdefghijklmnopqrstuvwxyz")))),
    _xlfn.TEXTJOIN("",, _xlpm.filtered)
)</f>
        <v>000631</v>
      </c>
      <c r="B391" s="3" t="s">
        <v>1645</v>
      </c>
      <c r="C391" s="3" t="s">
        <v>1630</v>
      </c>
      <c r="D391" s="4">
        <v>306</v>
      </c>
      <c r="E391" s="3" t="s">
        <v>33</v>
      </c>
      <c r="F391" s="3" t="s">
        <v>1646</v>
      </c>
      <c r="G391" s="3" t="s">
        <v>1647</v>
      </c>
      <c r="H391" s="3" t="s">
        <v>824</v>
      </c>
      <c r="I391" s="3" t="s">
        <v>20</v>
      </c>
      <c r="J391" s="3" t="s">
        <v>36</v>
      </c>
      <c r="K391" s="3" t="s">
        <v>33</v>
      </c>
      <c r="L391" s="3" t="s">
        <v>38</v>
      </c>
      <c r="M391" s="3" t="s">
        <v>33</v>
      </c>
      <c r="N391" s="3" t="s">
        <v>25</v>
      </c>
      <c r="O391" t="str">
        <f t="shared" si="6"/>
        <v>2024-09-06</v>
      </c>
      <c r="P391" t="str">
        <f t="shared" si="7"/>
        <v>2026-09-05</v>
      </c>
    </row>
    <row r="392" spans="1:16" x14ac:dyDescent="0.2">
      <c r="A392" t="str" cm="1">
        <f t="array" ref="A392">_xlfn.LET(
    _xlpm.txt, B392,
    _xlpm.chars, MID(_xlpm.txt, _xlfn.SEQUENCE(LEN(_xlpm.txt)), 1),
    _xlpm.filtered, _xlfn._xlws.FILTER(_xlpm.chars, NOT(ISNUMBER(SEARCH(_xlpm.chars, "ABCDEFGHIJKLMNOPQRSTUVWXYZabcdefghijklmnopqrstuvwxyz")))),
    _xlfn.TEXTJOIN("",, _xlpm.filtered)
)</f>
        <v>000632</v>
      </c>
      <c r="B392" s="3" t="s">
        <v>1648</v>
      </c>
      <c r="C392" s="3" t="s">
        <v>1630</v>
      </c>
      <c r="D392" s="4">
        <v>300</v>
      </c>
      <c r="E392" s="3" t="s">
        <v>33</v>
      </c>
      <c r="F392" s="3" t="s">
        <v>1649</v>
      </c>
      <c r="G392" s="3" t="s">
        <v>1650</v>
      </c>
      <c r="H392" s="3" t="s">
        <v>308</v>
      </c>
      <c r="I392" s="3" t="s">
        <v>20</v>
      </c>
      <c r="J392" s="3" t="s">
        <v>33</v>
      </c>
      <c r="K392" s="3" t="s">
        <v>33</v>
      </c>
      <c r="L392" s="3" t="s">
        <v>33</v>
      </c>
      <c r="M392" s="3" t="s">
        <v>33</v>
      </c>
      <c r="N392" s="3" t="s">
        <v>25</v>
      </c>
      <c r="O392" t="str">
        <f t="shared" si="6"/>
        <v>2024-09-06</v>
      </c>
      <c r="P392" t="str">
        <f t="shared" si="7"/>
        <v>2026-09-05</v>
      </c>
    </row>
    <row r="393" spans="1:16" x14ac:dyDescent="0.2">
      <c r="A393" t="str" cm="1">
        <f t="array" ref="A393">_xlfn.LET(
    _xlpm.txt, B393,
    _xlpm.chars, MID(_xlpm.txt, _xlfn.SEQUENCE(LEN(_xlpm.txt)), 1),
    _xlpm.filtered, _xlfn._xlws.FILTER(_xlpm.chars, NOT(ISNUMBER(SEARCH(_xlpm.chars, "ABCDEFGHIJKLMNOPQRSTUVWXYZabcdefghijklmnopqrstuvwxyz")))),
    _xlfn.TEXTJOIN("",, _xlpm.filtered)
)</f>
        <v>000633</v>
      </c>
      <c r="B393" s="3" t="s">
        <v>1651</v>
      </c>
      <c r="C393" s="3" t="s">
        <v>1630</v>
      </c>
      <c r="D393" s="4">
        <v>306</v>
      </c>
      <c r="E393" s="3" t="s">
        <v>33</v>
      </c>
      <c r="F393" s="3" t="s">
        <v>1652</v>
      </c>
      <c r="G393" s="3" t="s">
        <v>1653</v>
      </c>
      <c r="H393" s="3" t="s">
        <v>308</v>
      </c>
      <c r="I393" s="3" t="s">
        <v>20</v>
      </c>
      <c r="J393" s="3" t="s">
        <v>33</v>
      </c>
      <c r="K393" s="3" t="s">
        <v>33</v>
      </c>
      <c r="L393" s="3" t="s">
        <v>38</v>
      </c>
      <c r="M393" s="3" t="s">
        <v>33</v>
      </c>
      <c r="N393" s="3" t="s">
        <v>25</v>
      </c>
      <c r="O393" t="str">
        <f t="shared" si="6"/>
        <v>2024-09-06</v>
      </c>
      <c r="P393" t="str">
        <f t="shared" si="7"/>
        <v>2026-09-05</v>
      </c>
    </row>
    <row r="394" spans="1:16" x14ac:dyDescent="0.2">
      <c r="A394" t="str" cm="1">
        <f t="array" ref="A394">_xlfn.LET(
    _xlpm.txt, B394,
    _xlpm.chars, MID(_xlpm.txt, _xlfn.SEQUENCE(LEN(_xlpm.txt)), 1),
    _xlpm.filtered, _xlfn._xlws.FILTER(_xlpm.chars, NOT(ISNUMBER(SEARCH(_xlpm.chars, "ABCDEFGHIJKLMNOPQRSTUVWXYZabcdefghijklmnopqrstuvwxyz")))),
    _xlfn.TEXTJOIN("",, _xlpm.filtered)
)</f>
        <v>000634</v>
      </c>
      <c r="B394" s="3" t="s">
        <v>1654</v>
      </c>
      <c r="C394" s="3" t="s">
        <v>1630</v>
      </c>
      <c r="D394" s="4">
        <v>306</v>
      </c>
      <c r="E394" s="3" t="s">
        <v>33</v>
      </c>
      <c r="F394" s="3" t="s">
        <v>1655</v>
      </c>
      <c r="G394" s="3" t="s">
        <v>1656</v>
      </c>
      <c r="H394" s="3" t="s">
        <v>308</v>
      </c>
      <c r="I394" s="3" t="s">
        <v>20</v>
      </c>
      <c r="J394" s="3" t="s">
        <v>73</v>
      </c>
      <c r="K394" s="3" t="s">
        <v>33</v>
      </c>
      <c r="L394" s="3" t="s">
        <v>174</v>
      </c>
      <c r="M394" s="3" t="s">
        <v>33</v>
      </c>
      <c r="N394" s="3" t="s">
        <v>25</v>
      </c>
      <c r="O394" t="str">
        <f t="shared" si="6"/>
        <v>2024-09-06</v>
      </c>
      <c r="P394" t="str">
        <f t="shared" si="7"/>
        <v>2026-09-05</v>
      </c>
    </row>
    <row r="395" spans="1:16" x14ac:dyDescent="0.2">
      <c r="A395" t="str" cm="1">
        <f t="array" ref="A395">_xlfn.LET(
    _xlpm.txt, B395,
    _xlpm.chars, MID(_xlpm.txt, _xlfn.SEQUENCE(LEN(_xlpm.txt)), 1),
    _xlpm.filtered, _xlfn._xlws.FILTER(_xlpm.chars, NOT(ISNUMBER(SEARCH(_xlpm.chars, "ABCDEFGHIJKLMNOPQRSTUVWXYZabcdefghijklmnopqrstuvwxyz")))),
    _xlfn.TEXTJOIN("",, _xlpm.filtered)
)</f>
        <v>000635</v>
      </c>
      <c r="B395" s="3" t="s">
        <v>1657</v>
      </c>
      <c r="C395" s="3" t="s">
        <v>1630</v>
      </c>
      <c r="D395" s="4">
        <v>306</v>
      </c>
      <c r="E395" s="3" t="s">
        <v>33</v>
      </c>
      <c r="F395" s="3" t="s">
        <v>1658</v>
      </c>
      <c r="G395" s="3" t="s">
        <v>1659</v>
      </c>
      <c r="H395" s="3" t="s">
        <v>132</v>
      </c>
      <c r="I395" s="3" t="s">
        <v>20</v>
      </c>
      <c r="J395" s="3" t="s">
        <v>60</v>
      </c>
      <c r="K395" s="3" t="s">
        <v>33</v>
      </c>
      <c r="L395" s="3" t="s">
        <v>33</v>
      </c>
      <c r="M395" s="3" t="s">
        <v>33</v>
      </c>
      <c r="N395" s="3" t="s">
        <v>25</v>
      </c>
      <c r="O395" t="str">
        <f t="shared" si="6"/>
        <v>2024-09-06</v>
      </c>
      <c r="P395" t="str">
        <f t="shared" si="7"/>
        <v>2026-09-05</v>
      </c>
    </row>
    <row r="396" spans="1:16" x14ac:dyDescent="0.2">
      <c r="A396" t="str" cm="1">
        <f t="array" ref="A396">_xlfn.LET(
    _xlpm.txt, B396,
    _xlpm.chars, MID(_xlpm.txt, _xlfn.SEQUENCE(LEN(_xlpm.txt)), 1),
    _xlpm.filtered, _xlfn._xlws.FILTER(_xlpm.chars, NOT(ISNUMBER(SEARCH(_xlpm.chars, "ABCDEFGHIJKLMNOPQRSTUVWXYZabcdefghijklmnopqrstuvwxyz")))),
    _xlfn.TEXTJOIN("",, _xlpm.filtered)
)</f>
        <v>000636</v>
      </c>
      <c r="B396" s="3" t="s">
        <v>1660</v>
      </c>
      <c r="C396" s="3" t="s">
        <v>1630</v>
      </c>
      <c r="D396" s="4">
        <v>306</v>
      </c>
      <c r="E396" s="3" t="s">
        <v>1661</v>
      </c>
      <c r="F396" s="3" t="s">
        <v>33</v>
      </c>
      <c r="G396" s="3" t="s">
        <v>1662</v>
      </c>
      <c r="H396" s="3" t="s">
        <v>132</v>
      </c>
      <c r="I396" s="3" t="s">
        <v>20</v>
      </c>
      <c r="J396" s="3" t="s">
        <v>60</v>
      </c>
      <c r="K396" s="3" t="s">
        <v>33</v>
      </c>
      <c r="L396" s="3" t="s">
        <v>33</v>
      </c>
      <c r="M396" s="3" t="s">
        <v>33</v>
      </c>
      <c r="N396" s="3" t="s">
        <v>25</v>
      </c>
      <c r="O396" t="str">
        <f t="shared" si="6"/>
        <v>2024-09-06</v>
      </c>
      <c r="P396" t="str">
        <f t="shared" si="7"/>
        <v>2026-09-05</v>
      </c>
    </row>
    <row r="397" spans="1:16" x14ac:dyDescent="0.2">
      <c r="A397" t="str" cm="1">
        <f t="array" ref="A397">_xlfn.LET(
    _xlpm.txt, B397,
    _xlpm.chars, MID(_xlpm.txt, _xlfn.SEQUENCE(LEN(_xlpm.txt)), 1),
    _xlpm.filtered, _xlfn._xlws.FILTER(_xlpm.chars, NOT(ISNUMBER(SEARCH(_xlpm.chars, "ABCDEFGHIJKLMNOPQRSTUVWXYZabcdefghijklmnopqrstuvwxyz")))),
    _xlfn.TEXTJOIN("",, _xlpm.filtered)
)</f>
        <v>000637</v>
      </c>
      <c r="B397" s="3" t="s">
        <v>1663</v>
      </c>
      <c r="C397" s="3" t="s">
        <v>1630</v>
      </c>
      <c r="D397" s="4">
        <v>306</v>
      </c>
      <c r="E397" s="3" t="s">
        <v>33</v>
      </c>
      <c r="F397" s="3" t="s">
        <v>1664</v>
      </c>
      <c r="G397" s="3" t="s">
        <v>1665</v>
      </c>
      <c r="H397" s="3" t="s">
        <v>84</v>
      </c>
      <c r="I397" s="3" t="s">
        <v>20</v>
      </c>
      <c r="J397" s="3" t="s">
        <v>85</v>
      </c>
      <c r="K397" s="3" t="s">
        <v>33</v>
      </c>
      <c r="L397" s="3" t="s">
        <v>33</v>
      </c>
      <c r="M397" s="3" t="s">
        <v>33</v>
      </c>
      <c r="N397" s="3" t="s">
        <v>25</v>
      </c>
      <c r="O397" t="str">
        <f t="shared" si="6"/>
        <v>2024-09-06</v>
      </c>
      <c r="P397" t="str">
        <f t="shared" si="7"/>
        <v>2026-09-05</v>
      </c>
    </row>
    <row r="398" spans="1:16" x14ac:dyDescent="0.2">
      <c r="A398" t="str" cm="1">
        <f t="array" ref="A398">_xlfn.LET(
    _xlpm.txt, B398,
    _xlpm.chars, MID(_xlpm.txt, _xlfn.SEQUENCE(LEN(_xlpm.txt)), 1),
    _xlpm.filtered, _xlfn._xlws.FILTER(_xlpm.chars, NOT(ISNUMBER(SEARCH(_xlpm.chars, "ABCDEFGHIJKLMNOPQRSTUVWXYZabcdefghijklmnopqrstuvwxyz")))),
    _xlfn.TEXTJOIN("",, _xlpm.filtered)
)</f>
        <v>000638</v>
      </c>
      <c r="B398" s="3" t="s">
        <v>1666</v>
      </c>
      <c r="C398" s="3" t="s">
        <v>1630</v>
      </c>
      <c r="D398" s="4">
        <v>306</v>
      </c>
      <c r="E398" s="3" t="s">
        <v>33</v>
      </c>
      <c r="F398" s="3" t="s">
        <v>1667</v>
      </c>
      <c r="G398" s="3" t="s">
        <v>1668</v>
      </c>
      <c r="H398" s="3" t="s">
        <v>132</v>
      </c>
      <c r="I398" s="3" t="s">
        <v>20</v>
      </c>
      <c r="J398" s="3" t="s">
        <v>60</v>
      </c>
      <c r="K398" s="3" t="s">
        <v>33</v>
      </c>
      <c r="L398" s="3" t="s">
        <v>33</v>
      </c>
      <c r="M398" s="3" t="s">
        <v>33</v>
      </c>
      <c r="N398" s="3" t="s">
        <v>33</v>
      </c>
      <c r="O398" t="str">
        <f t="shared" si="6"/>
        <v>2024-09-06</v>
      </c>
      <c r="P398" t="str">
        <f t="shared" si="7"/>
        <v>2026-09-05</v>
      </c>
    </row>
    <row r="399" spans="1:16" x14ac:dyDescent="0.2">
      <c r="A399" t="str" cm="1">
        <f t="array" ref="A399">_xlfn.LET(
    _xlpm.txt, B399,
    _xlpm.chars, MID(_xlpm.txt, _xlfn.SEQUENCE(LEN(_xlpm.txt)), 1),
    _xlpm.filtered, _xlfn._xlws.FILTER(_xlpm.chars, NOT(ISNUMBER(SEARCH(_xlpm.chars, "ABCDEFGHIJKLMNOPQRSTUVWXYZabcdefghijklmnopqrstuvwxyz")))),
    _xlfn.TEXTJOIN("",, _xlpm.filtered)
)</f>
        <v>000639</v>
      </c>
      <c r="B399" s="3" t="s">
        <v>1669</v>
      </c>
      <c r="C399" s="3" t="s">
        <v>1630</v>
      </c>
      <c r="D399" s="4">
        <v>306</v>
      </c>
      <c r="E399" s="3" t="s">
        <v>33</v>
      </c>
      <c r="F399" s="3" t="s">
        <v>1667</v>
      </c>
      <c r="G399" s="3" t="s">
        <v>1670</v>
      </c>
      <c r="H399" s="3" t="s">
        <v>132</v>
      </c>
      <c r="I399" s="3" t="s">
        <v>20</v>
      </c>
      <c r="J399" s="3" t="s">
        <v>60</v>
      </c>
      <c r="K399" s="3" t="s">
        <v>33</v>
      </c>
      <c r="L399" s="3" t="s">
        <v>33</v>
      </c>
      <c r="M399" s="3" t="s">
        <v>33</v>
      </c>
      <c r="N399" s="3" t="s">
        <v>33</v>
      </c>
      <c r="O399" t="str">
        <f t="shared" si="6"/>
        <v>2024-09-06</v>
      </c>
      <c r="P399" t="str">
        <f t="shared" si="7"/>
        <v>2026-09-05</v>
      </c>
    </row>
    <row r="400" spans="1:16" x14ac:dyDescent="0.2">
      <c r="A400" t="str" cm="1">
        <f t="array" ref="A400">_xlfn.LET(
    _xlpm.txt, B400,
    _xlpm.chars, MID(_xlpm.txt, _xlfn.SEQUENCE(LEN(_xlpm.txt)), 1),
    _xlpm.filtered, _xlfn._xlws.FILTER(_xlpm.chars, NOT(ISNUMBER(SEARCH(_xlpm.chars, "ABCDEFGHIJKLMNOPQRSTUVWXYZabcdefghijklmnopqrstuvwxyz")))),
    _xlfn.TEXTJOIN("",, _xlpm.filtered)
)</f>
        <v>000640</v>
      </c>
      <c r="B400" s="3" t="s">
        <v>1671</v>
      </c>
      <c r="C400" s="3" t="s">
        <v>1630</v>
      </c>
      <c r="D400" s="4">
        <v>306</v>
      </c>
      <c r="E400" s="3" t="s">
        <v>33</v>
      </c>
      <c r="F400" s="3" t="s">
        <v>1672</v>
      </c>
      <c r="G400" s="3" t="s">
        <v>1673</v>
      </c>
      <c r="H400" s="3" t="s">
        <v>132</v>
      </c>
      <c r="I400" s="3" t="s">
        <v>20</v>
      </c>
      <c r="J400" s="3" t="s">
        <v>73</v>
      </c>
      <c r="K400" s="3" t="s">
        <v>33</v>
      </c>
      <c r="L400" s="3" t="s">
        <v>38</v>
      </c>
      <c r="M400" s="3" t="s">
        <v>33</v>
      </c>
      <c r="N400" s="3" t="s">
        <v>33</v>
      </c>
      <c r="O400" t="str">
        <f t="shared" si="6"/>
        <v>2024-09-06</v>
      </c>
      <c r="P400" t="str">
        <f t="shared" si="7"/>
        <v>2026-09-05</v>
      </c>
    </row>
    <row r="401" spans="1:16" x14ac:dyDescent="0.2">
      <c r="A401" t="str" cm="1">
        <f t="array" ref="A401">_xlfn.LET(
    _xlpm.txt, B401,
    _xlpm.chars, MID(_xlpm.txt, _xlfn.SEQUENCE(LEN(_xlpm.txt)), 1),
    _xlpm.filtered, _xlfn._xlws.FILTER(_xlpm.chars, NOT(ISNUMBER(SEARCH(_xlpm.chars, "ABCDEFGHIJKLMNOPQRSTUVWXYZabcdefghijklmnopqrstuvwxyz")))),
    _xlfn.TEXTJOIN("",, _xlpm.filtered)
)</f>
        <v>000641</v>
      </c>
      <c r="B401" s="3" t="s">
        <v>1674</v>
      </c>
      <c r="C401" s="3" t="s">
        <v>1630</v>
      </c>
      <c r="D401" s="4">
        <v>306</v>
      </c>
      <c r="E401" s="3" t="s">
        <v>33</v>
      </c>
      <c r="F401" s="3" t="s">
        <v>1675</v>
      </c>
      <c r="G401" s="3" t="s">
        <v>1676</v>
      </c>
      <c r="H401" s="3" t="s">
        <v>184</v>
      </c>
      <c r="I401" s="3" t="s">
        <v>20</v>
      </c>
      <c r="J401" s="3" t="s">
        <v>60</v>
      </c>
      <c r="K401" s="3" t="s">
        <v>33</v>
      </c>
      <c r="L401" s="3" t="s">
        <v>163</v>
      </c>
      <c r="M401" s="3" t="s">
        <v>33</v>
      </c>
      <c r="N401" s="3" t="s">
        <v>33</v>
      </c>
      <c r="O401" t="str">
        <f t="shared" si="6"/>
        <v>2024-09-06</v>
      </c>
      <c r="P401" t="str">
        <f t="shared" si="7"/>
        <v>2026-09-05</v>
      </c>
    </row>
    <row r="402" spans="1:16" x14ac:dyDescent="0.2">
      <c r="A402" t="str" cm="1">
        <f t="array" ref="A402">_xlfn.LET(
    _xlpm.txt, B402,
    _xlpm.chars, MID(_xlpm.txt, _xlfn.SEQUENCE(LEN(_xlpm.txt)), 1),
    _xlpm.filtered, _xlfn._xlws.FILTER(_xlpm.chars, NOT(ISNUMBER(SEARCH(_xlpm.chars, "ABCDEFGHIJKLMNOPQRSTUVWXYZabcdefghijklmnopqrstuvwxyz")))),
    _xlfn.TEXTJOIN("",, _xlpm.filtered)
)</f>
        <v>000642</v>
      </c>
      <c r="B402" s="3" t="s">
        <v>1677</v>
      </c>
      <c r="C402" s="3" t="s">
        <v>1630</v>
      </c>
      <c r="D402" s="4">
        <v>306</v>
      </c>
      <c r="E402" s="3" t="s">
        <v>33</v>
      </c>
      <c r="F402" s="3" t="s">
        <v>1652</v>
      </c>
      <c r="G402" s="3" t="s">
        <v>1678</v>
      </c>
      <c r="H402" s="3" t="s">
        <v>308</v>
      </c>
      <c r="I402" s="3" t="s">
        <v>20</v>
      </c>
      <c r="J402" s="3" t="s">
        <v>85</v>
      </c>
      <c r="K402" s="3" t="s">
        <v>33</v>
      </c>
      <c r="L402" s="3" t="s">
        <v>38</v>
      </c>
      <c r="M402" s="3" t="s">
        <v>33</v>
      </c>
      <c r="N402" s="3" t="s">
        <v>33</v>
      </c>
      <c r="O402" t="str">
        <f t="shared" si="6"/>
        <v>2024-09-06</v>
      </c>
      <c r="P402" t="str">
        <f t="shared" si="7"/>
        <v>2026-09-05</v>
      </c>
    </row>
    <row r="403" spans="1:16" x14ac:dyDescent="0.2">
      <c r="A403" t="str" cm="1">
        <f t="array" ref="A403">_xlfn.LET(
    _xlpm.txt, B403,
    _xlpm.chars, MID(_xlpm.txt, _xlfn.SEQUENCE(LEN(_xlpm.txt)), 1),
    _xlpm.filtered, _xlfn._xlws.FILTER(_xlpm.chars, NOT(ISNUMBER(SEARCH(_xlpm.chars, "ABCDEFGHIJKLMNOPQRSTUVWXYZabcdefghijklmnopqrstuvwxyz")))),
    _xlfn.TEXTJOIN("",, _xlpm.filtered)
)</f>
        <v>000643</v>
      </c>
      <c r="B403" s="3" t="s">
        <v>1679</v>
      </c>
      <c r="C403" s="3" t="s">
        <v>1630</v>
      </c>
      <c r="D403" s="4">
        <v>306</v>
      </c>
      <c r="E403" s="3" t="s">
        <v>33</v>
      </c>
      <c r="F403" s="3" t="s">
        <v>1680</v>
      </c>
      <c r="G403" s="3" t="s">
        <v>1681</v>
      </c>
      <c r="H403" s="3" t="s">
        <v>132</v>
      </c>
      <c r="I403" s="3" t="s">
        <v>20</v>
      </c>
      <c r="J403" s="3" t="s">
        <v>60</v>
      </c>
      <c r="K403" s="3" t="s">
        <v>33</v>
      </c>
      <c r="L403" s="3" t="s">
        <v>33</v>
      </c>
      <c r="M403" s="3" t="s">
        <v>33</v>
      </c>
      <c r="N403" s="3" t="s">
        <v>33</v>
      </c>
      <c r="O403" t="str">
        <f t="shared" si="6"/>
        <v>2024-09-06</v>
      </c>
      <c r="P403" t="str">
        <f t="shared" si="7"/>
        <v>2026-09-05</v>
      </c>
    </row>
    <row r="404" spans="1:16" x14ac:dyDescent="0.2">
      <c r="A404" t="str" cm="1">
        <f t="array" ref="A404">_xlfn.LET(
    _xlpm.txt, B404,
    _xlpm.chars, MID(_xlpm.txt, _xlfn.SEQUENCE(LEN(_xlpm.txt)), 1),
    _xlpm.filtered, _xlfn._xlws.FILTER(_xlpm.chars, NOT(ISNUMBER(SEARCH(_xlpm.chars, "ABCDEFGHIJKLMNOPQRSTUVWXYZabcdefghijklmnopqrstuvwxyz")))),
    _xlfn.TEXTJOIN("",, _xlpm.filtered)
)</f>
        <v>000646</v>
      </c>
      <c r="B404" s="3" t="s">
        <v>1682</v>
      </c>
      <c r="C404" s="3" t="s">
        <v>1683</v>
      </c>
      <c r="D404" s="4">
        <v>150</v>
      </c>
      <c r="E404" s="3" t="s">
        <v>1684</v>
      </c>
      <c r="F404" s="3" t="s">
        <v>33</v>
      </c>
      <c r="G404" s="3" t="s">
        <v>1685</v>
      </c>
      <c r="H404" s="3" t="s">
        <v>1686</v>
      </c>
      <c r="I404" s="3" t="s">
        <v>33</v>
      </c>
      <c r="J404" s="3" t="s">
        <v>36</v>
      </c>
      <c r="K404" s="3" t="s">
        <v>37</v>
      </c>
      <c r="L404" s="3" t="s">
        <v>38</v>
      </c>
      <c r="M404" s="3" t="s">
        <v>1209</v>
      </c>
      <c r="N404" s="3" t="s">
        <v>25</v>
      </c>
      <c r="O404" t="str">
        <f>"2024-11-01"</f>
        <v>2024-11-01</v>
      </c>
      <c r="P404" t="str">
        <f>"2025-10-31"</f>
        <v>2025-10-31</v>
      </c>
    </row>
    <row r="405" spans="1:16" x14ac:dyDescent="0.2">
      <c r="A405" t="str" cm="1">
        <f t="array" ref="A405">_xlfn.LET(
    _xlpm.txt, B405,
    _xlpm.chars, MID(_xlpm.txt, _xlfn.SEQUENCE(LEN(_xlpm.txt)), 1),
    _xlpm.filtered, _xlfn._xlws.FILTER(_xlpm.chars, NOT(ISNUMBER(SEARCH(_xlpm.chars, "ABCDEFGHIJKLMNOPQRSTUVWXYZabcdefghijklmnopqrstuvwxyz")))),
    _xlfn.TEXTJOIN("",, _xlpm.filtered)
)</f>
        <v>000647</v>
      </c>
      <c r="B405" s="3" t="s">
        <v>1687</v>
      </c>
      <c r="C405" s="3" t="s">
        <v>1688</v>
      </c>
      <c r="D405" s="4">
        <v>180</v>
      </c>
      <c r="E405" s="3" t="s">
        <v>1689</v>
      </c>
      <c r="F405" s="3" t="s">
        <v>1690</v>
      </c>
      <c r="G405" s="3" t="s">
        <v>1691</v>
      </c>
      <c r="H405" s="3" t="s">
        <v>132</v>
      </c>
      <c r="I405" s="3" t="s">
        <v>20</v>
      </c>
      <c r="J405" s="3" t="s">
        <v>73</v>
      </c>
      <c r="K405" s="3" t="s">
        <v>37</v>
      </c>
      <c r="L405" s="3" t="s">
        <v>174</v>
      </c>
      <c r="M405" s="3" t="s">
        <v>62</v>
      </c>
      <c r="N405" s="3" t="s">
        <v>25</v>
      </c>
      <c r="O405" t="str">
        <f>"2024-10-01"</f>
        <v>2024-10-01</v>
      </c>
      <c r="P405" t="str">
        <f>"2025-09-30"</f>
        <v>2025-09-30</v>
      </c>
    </row>
    <row r="406" spans="1:16" x14ac:dyDescent="0.2">
      <c r="A406" t="str" cm="1">
        <f t="array" ref="A406">_xlfn.LET(
    _xlpm.txt, B406,
    _xlpm.chars, MID(_xlpm.txt, _xlfn.SEQUENCE(LEN(_xlpm.txt)), 1),
    _xlpm.filtered, _xlfn._xlws.FILTER(_xlpm.chars, NOT(ISNUMBER(SEARCH(_xlpm.chars, "ABCDEFGHIJKLMNOPQRSTUVWXYZabcdefghijklmnopqrstuvwxyz")))),
    _xlfn.TEXTJOIN("",, _xlpm.filtered)
)</f>
        <v>000648</v>
      </c>
      <c r="B406" s="3" t="s">
        <v>1692</v>
      </c>
      <c r="C406" s="3" t="s">
        <v>1693</v>
      </c>
      <c r="D406" s="4">
        <v>180</v>
      </c>
      <c r="E406" s="3" t="s">
        <v>1694</v>
      </c>
      <c r="F406" s="3" t="s">
        <v>1695</v>
      </c>
      <c r="G406" s="3" t="s">
        <v>1696</v>
      </c>
      <c r="H406" s="3" t="s">
        <v>132</v>
      </c>
      <c r="I406" s="3" t="s">
        <v>20</v>
      </c>
      <c r="J406" s="3" t="s">
        <v>85</v>
      </c>
      <c r="K406" s="3" t="s">
        <v>37</v>
      </c>
      <c r="L406" s="3" t="s">
        <v>38</v>
      </c>
      <c r="M406" s="3" t="s">
        <v>62</v>
      </c>
      <c r="N406" s="3" t="s">
        <v>25</v>
      </c>
      <c r="O406" t="str">
        <f>"2025-01-01"</f>
        <v>2025-01-01</v>
      </c>
      <c r="P406" t="str">
        <f>"2025-12-31"</f>
        <v>2025-12-31</v>
      </c>
    </row>
    <row r="407" spans="1:16" x14ac:dyDescent="0.2">
      <c r="A407" t="str" cm="1">
        <f t="array" ref="A407">_xlfn.LET(
    _xlpm.txt, B407,
    _xlpm.chars, MID(_xlpm.txt, _xlfn.SEQUENCE(LEN(_xlpm.txt)), 1),
    _xlpm.filtered, _xlfn._xlws.FILTER(_xlpm.chars, NOT(ISNUMBER(SEARCH(_xlpm.chars, "ABCDEFGHIJKLMNOPQRSTUVWXYZabcdefghijklmnopqrstuvwxyz")))),
    _xlfn.TEXTJOIN("",, _xlpm.filtered)
)</f>
        <v>000649</v>
      </c>
      <c r="B407" s="3" t="s">
        <v>1697</v>
      </c>
      <c r="C407" s="3" t="s">
        <v>1698</v>
      </c>
      <c r="D407" s="4">
        <v>0</v>
      </c>
      <c r="E407" s="3" t="s">
        <v>1699</v>
      </c>
      <c r="F407" s="3" t="s">
        <v>33</v>
      </c>
      <c r="G407" s="3" t="s">
        <v>1700</v>
      </c>
      <c r="H407" s="3" t="s">
        <v>1503</v>
      </c>
      <c r="I407" s="3" t="s">
        <v>33</v>
      </c>
      <c r="J407" s="3" t="s">
        <v>67</v>
      </c>
      <c r="K407" s="3" t="s">
        <v>37</v>
      </c>
      <c r="L407" s="3" t="s">
        <v>38</v>
      </c>
      <c r="M407" s="3" t="s">
        <v>378</v>
      </c>
      <c r="N407" s="3" t="s">
        <v>25</v>
      </c>
      <c r="O407" t="str">
        <f>"2022-11-01"</f>
        <v>2022-11-01</v>
      </c>
      <c r="P407" t="str">
        <f>"2023-10-31"</f>
        <v>2023-10-31</v>
      </c>
    </row>
    <row r="408" spans="1:16" x14ac:dyDescent="0.2">
      <c r="A408" t="str" cm="1">
        <f t="array" ref="A408">_xlfn.LET(
    _xlpm.txt, B408,
    _xlpm.chars, MID(_xlpm.txt, _xlfn.SEQUENCE(LEN(_xlpm.txt)), 1),
    _xlpm.filtered, _xlfn._xlws.FILTER(_xlpm.chars, NOT(ISNUMBER(SEARCH(_xlpm.chars, "ABCDEFGHIJKLMNOPQRSTUVWXYZabcdefghijklmnopqrstuvwxyz")))),
    _xlfn.TEXTJOIN("",, _xlpm.filtered)
)</f>
        <v>000650</v>
      </c>
      <c r="B408" s="3" t="s">
        <v>1701</v>
      </c>
      <c r="C408" s="3" t="s">
        <v>1335</v>
      </c>
      <c r="D408" s="4">
        <v>150</v>
      </c>
      <c r="E408" s="3" t="s">
        <v>56</v>
      </c>
      <c r="F408" s="3" t="s">
        <v>1702</v>
      </c>
      <c r="G408" s="3" t="s">
        <v>1703</v>
      </c>
      <c r="H408" s="3" t="s">
        <v>105</v>
      </c>
      <c r="I408" s="3" t="s">
        <v>20</v>
      </c>
      <c r="J408" s="3" t="s">
        <v>67</v>
      </c>
      <c r="K408" s="3" t="s">
        <v>22</v>
      </c>
      <c r="L408" s="3" t="s">
        <v>38</v>
      </c>
      <c r="M408" s="3" t="s">
        <v>24</v>
      </c>
      <c r="N408" s="3" t="s">
        <v>25</v>
      </c>
      <c r="O408" t="str">
        <f>"2025-01-01"</f>
        <v>2025-01-01</v>
      </c>
      <c r="P408" t="str">
        <f>"2025-12-31"</f>
        <v>2025-12-31</v>
      </c>
    </row>
    <row r="409" spans="1:16" x14ac:dyDescent="0.2">
      <c r="A409" t="str" cm="1">
        <f t="array" ref="A409">_xlfn.LET(
    _xlpm.txt, B409,
    _xlpm.chars, MID(_xlpm.txt, _xlfn.SEQUENCE(LEN(_xlpm.txt)), 1),
    _xlpm.filtered, _xlfn._xlws.FILTER(_xlpm.chars, NOT(ISNUMBER(SEARCH(_xlpm.chars, "ABCDEFGHIJKLMNOPQRSTUVWXYZabcdefghijklmnopqrstuvwxyz")))),
    _xlfn.TEXTJOIN("",, _xlpm.filtered)
)</f>
        <v>000651</v>
      </c>
      <c r="B409" s="3" t="s">
        <v>1704</v>
      </c>
      <c r="C409" s="3" t="s">
        <v>1705</v>
      </c>
      <c r="D409" s="4">
        <v>150</v>
      </c>
      <c r="E409" s="3" t="s">
        <v>1706</v>
      </c>
      <c r="F409" s="3" t="s">
        <v>33</v>
      </c>
      <c r="G409" s="3" t="s">
        <v>1707</v>
      </c>
      <c r="H409" s="3" t="s">
        <v>418</v>
      </c>
      <c r="I409" s="3" t="s">
        <v>33</v>
      </c>
      <c r="J409" s="3" t="s">
        <v>67</v>
      </c>
      <c r="K409" s="3" t="s">
        <v>37</v>
      </c>
      <c r="L409" s="3" t="s">
        <v>38</v>
      </c>
      <c r="M409" s="3" t="s">
        <v>62</v>
      </c>
      <c r="N409" s="3" t="s">
        <v>25</v>
      </c>
      <c r="O409" t="str">
        <f>"2024-12-01"</f>
        <v>2024-12-01</v>
      </c>
      <c r="P409" t="str">
        <f>"2025-11-30"</f>
        <v>2025-11-30</v>
      </c>
    </row>
    <row r="410" spans="1:16" x14ac:dyDescent="0.2">
      <c r="A410" t="str" cm="1">
        <f t="array" ref="A410">_xlfn.LET(
    _xlpm.txt, B410,
    _xlpm.chars, MID(_xlpm.txt, _xlfn.SEQUENCE(LEN(_xlpm.txt)), 1),
    _xlpm.filtered, _xlfn._xlws.FILTER(_xlpm.chars, NOT(ISNUMBER(SEARCH(_xlpm.chars, "ABCDEFGHIJKLMNOPQRSTUVWXYZabcdefghijklmnopqrstuvwxyz")))),
    _xlfn.TEXTJOIN("",, _xlpm.filtered)
)</f>
        <v>000652</v>
      </c>
      <c r="B410" s="3" t="s">
        <v>1708</v>
      </c>
      <c r="C410" s="3" t="s">
        <v>1152</v>
      </c>
      <c r="D410" s="4">
        <v>320</v>
      </c>
      <c r="E410" s="3" t="s">
        <v>767</v>
      </c>
      <c r="F410" s="3" t="s">
        <v>33</v>
      </c>
      <c r="G410" s="3" t="s">
        <v>1709</v>
      </c>
      <c r="H410" s="3" t="s">
        <v>132</v>
      </c>
      <c r="I410" s="3" t="s">
        <v>33</v>
      </c>
      <c r="J410" s="3" t="s">
        <v>119</v>
      </c>
      <c r="K410" s="3" t="s">
        <v>33</v>
      </c>
      <c r="L410" s="3" t="s">
        <v>38</v>
      </c>
      <c r="M410" s="3" t="s">
        <v>33</v>
      </c>
      <c r="N410" s="3" t="s">
        <v>25</v>
      </c>
      <c r="O410" t="str">
        <f>"2024-12-01"</f>
        <v>2024-12-01</v>
      </c>
      <c r="P410" t="str">
        <f>"2025-11-30"</f>
        <v>2025-11-30</v>
      </c>
    </row>
    <row r="411" spans="1:16" x14ac:dyDescent="0.2">
      <c r="A411" t="str" cm="1">
        <f t="array" ref="A411">_xlfn.LET(
    _xlpm.txt, B411,
    _xlpm.chars, MID(_xlpm.txt, _xlfn.SEQUENCE(LEN(_xlpm.txt)), 1),
    _xlpm.filtered, _xlfn._xlws.FILTER(_xlpm.chars, NOT(ISNUMBER(SEARCH(_xlpm.chars, "ABCDEFGHIJKLMNOPQRSTUVWXYZabcdefghijklmnopqrstuvwxyz")))),
    _xlfn.TEXTJOIN("",, _xlpm.filtered)
)</f>
        <v>000653</v>
      </c>
      <c r="B411" s="3" t="s">
        <v>1710</v>
      </c>
      <c r="C411" s="3" t="s">
        <v>1711</v>
      </c>
      <c r="D411" s="4">
        <v>450</v>
      </c>
      <c r="E411" s="3" t="s">
        <v>33</v>
      </c>
      <c r="F411" s="3" t="s">
        <v>33</v>
      </c>
      <c r="G411" s="3" t="s">
        <v>33</v>
      </c>
      <c r="H411" s="3" t="s">
        <v>33</v>
      </c>
      <c r="I411" s="3" t="s">
        <v>33</v>
      </c>
      <c r="J411" s="3" t="s">
        <v>33</v>
      </c>
      <c r="K411" s="3" t="s">
        <v>33</v>
      </c>
      <c r="L411" s="3" t="s">
        <v>33</v>
      </c>
      <c r="M411" s="3" t="s">
        <v>33</v>
      </c>
      <c r="N411" s="3" t="s">
        <v>33</v>
      </c>
      <c r="O411" t="str">
        <f>"2022-12-01"</f>
        <v>2022-12-01</v>
      </c>
      <c r="P411" t="str">
        <f>"2023-11-30"</f>
        <v>2023-11-30</v>
      </c>
    </row>
    <row r="412" spans="1:16" x14ac:dyDescent="0.2">
      <c r="A412" t="str" cm="1">
        <f t="array" ref="A412">_xlfn.LET(
    _xlpm.txt, B412,
    _xlpm.chars, MID(_xlpm.txt, _xlfn.SEQUENCE(LEN(_xlpm.txt)), 1),
    _xlpm.filtered, _xlfn._xlws.FILTER(_xlpm.chars, NOT(ISNUMBER(SEARCH(_xlpm.chars, "ABCDEFGHIJKLMNOPQRSTUVWXYZabcdefghijklmnopqrstuvwxyz")))),
    _xlfn.TEXTJOIN("",, _xlpm.filtered)
)</f>
        <v>000654</v>
      </c>
      <c r="B412" s="3" t="s">
        <v>1712</v>
      </c>
      <c r="C412" s="3" t="s">
        <v>121</v>
      </c>
      <c r="D412" s="4">
        <v>150</v>
      </c>
      <c r="E412" s="3" t="s">
        <v>122</v>
      </c>
      <c r="F412" s="3" t="s">
        <v>33</v>
      </c>
      <c r="G412" s="3" t="s">
        <v>1713</v>
      </c>
      <c r="H412" s="3" t="s">
        <v>928</v>
      </c>
      <c r="I412" s="3" t="s">
        <v>33</v>
      </c>
      <c r="J412" s="3" t="s">
        <v>36</v>
      </c>
      <c r="K412" s="3" t="s">
        <v>22</v>
      </c>
      <c r="L412" s="3" t="s">
        <v>38</v>
      </c>
      <c r="M412" s="3" t="s">
        <v>62</v>
      </c>
      <c r="N412" s="3" t="s">
        <v>25</v>
      </c>
      <c r="O412" t="str">
        <f>"2024-12-01"</f>
        <v>2024-12-01</v>
      </c>
      <c r="P412" t="str">
        <f>"2025-11-30"</f>
        <v>2025-11-30</v>
      </c>
    </row>
    <row r="413" spans="1:16" x14ac:dyDescent="0.2">
      <c r="A413" t="str" cm="1">
        <f t="array" ref="A413">_xlfn.LET(
    _xlpm.txt, B413,
    _xlpm.chars, MID(_xlpm.txt, _xlfn.SEQUENCE(LEN(_xlpm.txt)), 1),
    _xlpm.filtered, _xlfn._xlws.FILTER(_xlpm.chars, NOT(ISNUMBER(SEARCH(_xlpm.chars, "ABCDEFGHIJKLMNOPQRSTUVWXYZabcdefghijklmnopqrstuvwxyz")))),
    _xlfn.TEXTJOIN("",, _xlpm.filtered)
)</f>
        <v>000655</v>
      </c>
      <c r="B413" s="3" t="s">
        <v>1714</v>
      </c>
      <c r="C413" s="3" t="s">
        <v>1715</v>
      </c>
      <c r="D413" s="4">
        <v>150</v>
      </c>
      <c r="E413" s="3" t="s">
        <v>1235</v>
      </c>
      <c r="F413" s="3" t="s">
        <v>1716</v>
      </c>
      <c r="G413" s="3" t="s">
        <v>1717</v>
      </c>
      <c r="H413" s="3" t="s">
        <v>509</v>
      </c>
      <c r="I413" s="3" t="s">
        <v>20</v>
      </c>
      <c r="J413" s="3" t="s">
        <v>67</v>
      </c>
      <c r="K413" s="3" t="s">
        <v>37</v>
      </c>
      <c r="L413" s="3" t="s">
        <v>38</v>
      </c>
      <c r="M413" s="3" t="s">
        <v>48</v>
      </c>
      <c r="N413" s="3" t="s">
        <v>25</v>
      </c>
      <c r="O413" t="str">
        <f>"2024-12-01"</f>
        <v>2024-12-01</v>
      </c>
      <c r="P413" t="str">
        <f>"2025-11-30"</f>
        <v>2025-11-30</v>
      </c>
    </row>
    <row r="414" spans="1:16" x14ac:dyDescent="0.2">
      <c r="A414" t="str" cm="1">
        <f t="array" ref="A414">_xlfn.LET(
    _xlpm.txt, B414,
    _xlpm.chars, MID(_xlpm.txt, _xlfn.SEQUENCE(LEN(_xlpm.txt)), 1),
    _xlpm.filtered, _xlfn._xlws.FILTER(_xlpm.chars, NOT(ISNUMBER(SEARCH(_xlpm.chars, "ABCDEFGHIJKLMNOPQRSTUVWXYZabcdefghijklmnopqrstuvwxyz")))),
    _xlfn.TEXTJOIN("",, _xlpm.filtered)
)</f>
        <v>000656</v>
      </c>
      <c r="B414" s="3" t="s">
        <v>1718</v>
      </c>
      <c r="C414" s="3" t="s">
        <v>1719</v>
      </c>
      <c r="D414" s="4">
        <v>400</v>
      </c>
      <c r="E414" s="3" t="s">
        <v>188</v>
      </c>
      <c r="F414" s="3" t="s">
        <v>1720</v>
      </c>
      <c r="G414" s="3" t="s">
        <v>1721</v>
      </c>
      <c r="H414" s="3" t="s">
        <v>59</v>
      </c>
      <c r="I414" s="3" t="s">
        <v>20</v>
      </c>
      <c r="J414" s="3" t="s">
        <v>119</v>
      </c>
      <c r="K414" s="3" t="s">
        <v>499</v>
      </c>
      <c r="L414" s="3" t="s">
        <v>499</v>
      </c>
      <c r="M414" s="3" t="s">
        <v>499</v>
      </c>
      <c r="N414" s="3" t="s">
        <v>25</v>
      </c>
      <c r="O414" t="str">
        <f>"2025-01-01"</f>
        <v>2025-01-01</v>
      </c>
      <c r="P414" t="str">
        <f>"2025-12-31"</f>
        <v>2025-12-31</v>
      </c>
    </row>
    <row r="415" spans="1:16" x14ac:dyDescent="0.2">
      <c r="A415" t="str" cm="1">
        <f t="array" ref="A415">_xlfn.LET(
    _xlpm.txt, B415,
    _xlpm.chars, MID(_xlpm.txt, _xlfn.SEQUENCE(LEN(_xlpm.txt)), 1),
    _xlpm.filtered, _xlfn._xlws.FILTER(_xlpm.chars, NOT(ISNUMBER(SEARCH(_xlpm.chars, "ABCDEFGHIJKLMNOPQRSTUVWXYZabcdefghijklmnopqrstuvwxyz")))),
    _xlfn.TEXTJOIN("",, _xlpm.filtered)
)</f>
        <v>000657</v>
      </c>
      <c r="B415" s="3" t="s">
        <v>1723</v>
      </c>
      <c r="C415" s="3" t="s">
        <v>1722</v>
      </c>
      <c r="D415" s="4">
        <v>150</v>
      </c>
      <c r="E415" s="3" t="s">
        <v>188</v>
      </c>
      <c r="F415" s="3" t="s">
        <v>1724</v>
      </c>
      <c r="G415" s="3" t="s">
        <v>1725</v>
      </c>
      <c r="H415" s="3" t="s">
        <v>132</v>
      </c>
      <c r="I415" s="3" t="s">
        <v>20</v>
      </c>
      <c r="J415" s="3" t="s">
        <v>85</v>
      </c>
      <c r="K415" s="3" t="s">
        <v>499</v>
      </c>
      <c r="L415" s="3" t="s">
        <v>499</v>
      </c>
      <c r="M415" s="3" t="s">
        <v>499</v>
      </c>
      <c r="N415" s="3" t="s">
        <v>25</v>
      </c>
      <c r="O415" t="str">
        <f>"2025-01-01"</f>
        <v>2025-01-01</v>
      </c>
      <c r="P415" t="str">
        <f>"2025-12-31"</f>
        <v>2025-12-31</v>
      </c>
    </row>
    <row r="416" spans="1:16" x14ac:dyDescent="0.2">
      <c r="A416" t="str" cm="1">
        <f t="array" ref="A416">_xlfn.LET(
    _xlpm.txt, B416,
    _xlpm.chars, MID(_xlpm.txt, _xlfn.SEQUENCE(LEN(_xlpm.txt)), 1),
    _xlpm.filtered, _xlfn._xlws.FILTER(_xlpm.chars, NOT(ISNUMBER(SEARCH(_xlpm.chars, "ABCDEFGHIJKLMNOPQRSTUVWXYZabcdefghijklmnopqrstuvwxyz")))),
    _xlfn.TEXTJOIN("",, _xlpm.filtered)
)</f>
        <v>000658</v>
      </c>
      <c r="B416" s="3" t="s">
        <v>1726</v>
      </c>
      <c r="C416" s="3" t="s">
        <v>1722</v>
      </c>
      <c r="D416" s="4">
        <v>150</v>
      </c>
      <c r="E416" s="3" t="s">
        <v>188</v>
      </c>
      <c r="F416" s="3" t="s">
        <v>33</v>
      </c>
      <c r="G416" s="3" t="s">
        <v>1727</v>
      </c>
      <c r="H416" s="3" t="s">
        <v>132</v>
      </c>
      <c r="I416" s="3" t="s">
        <v>20</v>
      </c>
      <c r="J416" s="3" t="s">
        <v>67</v>
      </c>
      <c r="K416" s="3" t="s">
        <v>33</v>
      </c>
      <c r="L416" s="3" t="s">
        <v>174</v>
      </c>
      <c r="M416" s="3" t="s">
        <v>33</v>
      </c>
      <c r="N416" s="3" t="s">
        <v>25</v>
      </c>
      <c r="O416" t="str">
        <f>"2025-01-01"</f>
        <v>2025-01-01</v>
      </c>
      <c r="P416" t="str">
        <f>"2025-12-31"</f>
        <v>2025-12-31</v>
      </c>
    </row>
    <row r="417" spans="1:16" x14ac:dyDescent="0.2">
      <c r="A417" t="str" cm="1">
        <f t="array" ref="A417">_xlfn.LET(
    _xlpm.txt, B417,
    _xlpm.chars, MID(_xlpm.txt, _xlfn.SEQUENCE(LEN(_xlpm.txt)), 1),
    _xlpm.filtered, _xlfn._xlws.FILTER(_xlpm.chars, NOT(ISNUMBER(SEARCH(_xlpm.chars, "ABCDEFGHIJKLMNOPQRSTUVWXYZabcdefghijklmnopqrstuvwxyz")))),
    _xlfn.TEXTJOIN("",, _xlpm.filtered)
)</f>
        <v>000659</v>
      </c>
      <c r="B417" s="3" t="s">
        <v>1728</v>
      </c>
      <c r="C417" s="3" t="s">
        <v>1722</v>
      </c>
      <c r="D417" s="4">
        <v>120</v>
      </c>
      <c r="E417" s="3" t="s">
        <v>188</v>
      </c>
      <c r="F417" s="3" t="s">
        <v>1724</v>
      </c>
      <c r="G417" s="3" t="s">
        <v>1729</v>
      </c>
      <c r="H417" s="3" t="s">
        <v>132</v>
      </c>
      <c r="I417" s="3" t="s">
        <v>20</v>
      </c>
      <c r="J417" s="3" t="s">
        <v>85</v>
      </c>
      <c r="K417" s="3" t="s">
        <v>78</v>
      </c>
      <c r="L417" s="3" t="s">
        <v>38</v>
      </c>
      <c r="M417" s="3" t="s">
        <v>24</v>
      </c>
      <c r="N417" s="3" t="s">
        <v>273</v>
      </c>
      <c r="O417" t="str">
        <f>"2025-01-01"</f>
        <v>2025-01-01</v>
      </c>
      <c r="P417" t="str">
        <f>"2025-12-31"</f>
        <v>2025-12-31</v>
      </c>
    </row>
    <row r="418" spans="1:16" x14ac:dyDescent="0.2">
      <c r="A418" t="str" cm="1">
        <f t="array" ref="A418">_xlfn.LET(
    _xlpm.txt, B418,
    _xlpm.chars, MID(_xlpm.txt, _xlfn.SEQUENCE(LEN(_xlpm.txt)), 1),
    _xlpm.filtered, _xlfn._xlws.FILTER(_xlpm.chars, NOT(ISNUMBER(SEARCH(_xlpm.chars, "ABCDEFGHIJKLMNOPQRSTUVWXYZabcdefghijklmnopqrstuvwxyz")))),
    _xlfn.TEXTJOIN("",, _xlpm.filtered)
)</f>
        <v>000660</v>
      </c>
      <c r="B418" s="3" t="s">
        <v>1730</v>
      </c>
      <c r="C418" s="3" t="s">
        <v>1731</v>
      </c>
      <c r="D418" s="4">
        <v>180</v>
      </c>
      <c r="E418" s="3" t="s">
        <v>1732</v>
      </c>
      <c r="F418" s="3" t="s">
        <v>1733</v>
      </c>
      <c r="G418" s="3" t="s">
        <v>1734</v>
      </c>
      <c r="H418" s="3" t="s">
        <v>945</v>
      </c>
      <c r="I418" s="3" t="s">
        <v>33</v>
      </c>
      <c r="J418" s="3" t="s">
        <v>73</v>
      </c>
      <c r="K418" s="3" t="s">
        <v>46</v>
      </c>
      <c r="L418" s="3" t="s">
        <v>38</v>
      </c>
      <c r="M418" s="3" t="s">
        <v>1206</v>
      </c>
      <c r="N418" s="3" t="s">
        <v>25</v>
      </c>
      <c r="O418" t="str">
        <f>"2025-02-01"</f>
        <v>2025-02-01</v>
      </c>
      <c r="P418" t="str">
        <f>"2026-01-31"</f>
        <v>2026-01-31</v>
      </c>
    </row>
    <row r="419" spans="1:16" x14ac:dyDescent="0.2">
      <c r="A419" t="str" cm="1">
        <f t="array" ref="A419">_xlfn.LET(
    _xlpm.txt, B419,
    _xlpm.chars, MID(_xlpm.txt, _xlfn.SEQUENCE(LEN(_xlpm.txt)), 1),
    _xlpm.filtered, _xlfn._xlws.FILTER(_xlpm.chars, NOT(ISNUMBER(SEARCH(_xlpm.chars, "ABCDEFGHIJKLMNOPQRSTUVWXYZabcdefghijklmnopqrstuvwxyz")))),
    _xlfn.TEXTJOIN("",, _xlpm.filtered)
)</f>
        <v>000661</v>
      </c>
      <c r="B419" s="3" t="s">
        <v>1735</v>
      </c>
      <c r="C419" s="3" t="s">
        <v>1736</v>
      </c>
      <c r="D419" s="4">
        <v>500</v>
      </c>
      <c r="E419" s="3" t="s">
        <v>1737</v>
      </c>
      <c r="F419" s="3" t="s">
        <v>33</v>
      </c>
      <c r="G419" s="3" t="s">
        <v>1738</v>
      </c>
      <c r="H419" s="3" t="s">
        <v>19</v>
      </c>
      <c r="I419" s="3" t="s">
        <v>33</v>
      </c>
      <c r="J419" s="3" t="s">
        <v>1739</v>
      </c>
      <c r="K419" s="3" t="s">
        <v>33</v>
      </c>
      <c r="L419" s="3" t="s">
        <v>1193</v>
      </c>
      <c r="M419" s="3" t="s">
        <v>33</v>
      </c>
      <c r="N419" s="3" t="s">
        <v>25</v>
      </c>
      <c r="O419" t="str">
        <f>"2025-01-02"</f>
        <v>2025-01-02</v>
      </c>
      <c r="P419" t="str">
        <f>"2026-01-01"</f>
        <v>2026-01-01</v>
      </c>
    </row>
    <row r="420" spans="1:16" x14ac:dyDescent="0.2">
      <c r="A420" t="str" cm="1">
        <f t="array" ref="A420">_xlfn.LET(
    _xlpm.txt, B420,
    _xlpm.chars, MID(_xlpm.txt, _xlfn.SEQUENCE(LEN(_xlpm.txt)), 1),
    _xlpm.filtered, _xlfn._xlws.FILTER(_xlpm.chars, NOT(ISNUMBER(SEARCH(_xlpm.chars, "ABCDEFGHIJKLMNOPQRSTUVWXYZabcdefghijklmnopqrstuvwxyz")))),
    _xlfn.TEXTJOIN("",, _xlpm.filtered)
)</f>
        <v>000662</v>
      </c>
      <c r="B420" s="3" t="s">
        <v>1740</v>
      </c>
      <c r="C420" s="3" t="s">
        <v>1693</v>
      </c>
      <c r="D420" s="4">
        <v>180</v>
      </c>
      <c r="E420" s="3" t="s">
        <v>1694</v>
      </c>
      <c r="F420" s="3" t="s">
        <v>1741</v>
      </c>
      <c r="G420" s="3" t="s">
        <v>1742</v>
      </c>
      <c r="H420" s="3" t="s">
        <v>487</v>
      </c>
      <c r="I420" s="3" t="s">
        <v>33</v>
      </c>
      <c r="J420" s="3" t="s">
        <v>60</v>
      </c>
      <c r="K420" s="3" t="s">
        <v>488</v>
      </c>
      <c r="L420" s="3" t="s">
        <v>38</v>
      </c>
      <c r="M420" s="3" t="s">
        <v>164</v>
      </c>
      <c r="N420" s="3" t="s">
        <v>25</v>
      </c>
      <c r="O420" t="str">
        <f>"2025-02-01"</f>
        <v>2025-02-01</v>
      </c>
      <c r="P420" t="str">
        <f>"2026-01-31"</f>
        <v>2026-01-31</v>
      </c>
    </row>
    <row r="421" spans="1:16" x14ac:dyDescent="0.2">
      <c r="A421" t="str" cm="1">
        <f t="array" ref="A421">_xlfn.LET(
    _xlpm.txt, B421,
    _xlpm.chars, MID(_xlpm.txt, _xlfn.SEQUENCE(LEN(_xlpm.txt)), 1),
    _xlpm.filtered, _xlfn._xlws.FILTER(_xlpm.chars, NOT(ISNUMBER(SEARCH(_xlpm.chars, "ABCDEFGHIJKLMNOPQRSTUVWXYZabcdefghijklmnopqrstuvwxyz")))),
    _xlfn.TEXTJOIN("",, _xlpm.filtered)
)</f>
        <v>000663</v>
      </c>
      <c r="B421" s="3" t="s">
        <v>1743</v>
      </c>
      <c r="C421" s="3" t="s">
        <v>1744</v>
      </c>
      <c r="D421" s="4">
        <v>180</v>
      </c>
      <c r="E421" s="3" t="s">
        <v>1745</v>
      </c>
      <c r="F421" s="3" t="s">
        <v>1746</v>
      </c>
      <c r="G421" s="3" t="s">
        <v>1747</v>
      </c>
      <c r="H421" s="3" t="s">
        <v>59</v>
      </c>
      <c r="I421" s="3" t="s">
        <v>20</v>
      </c>
      <c r="J421" s="3" t="s">
        <v>73</v>
      </c>
      <c r="K421" s="3" t="s">
        <v>296</v>
      </c>
      <c r="L421" s="3" t="s">
        <v>296</v>
      </c>
      <c r="M421" s="3" t="s">
        <v>296</v>
      </c>
      <c r="N421" s="3" t="s">
        <v>25</v>
      </c>
      <c r="O421" t="str">
        <f>"2025-01-17"</f>
        <v>2025-01-17</v>
      </c>
      <c r="P421" t="str">
        <f>"2026-01-16"</f>
        <v>2026-01-16</v>
      </c>
    </row>
    <row r="422" spans="1:16" x14ac:dyDescent="0.2">
      <c r="A422" t="str" cm="1">
        <f t="array" ref="A422">_xlfn.LET(
    _xlpm.txt, B422,
    _xlpm.chars, MID(_xlpm.txt, _xlfn.SEQUENCE(LEN(_xlpm.txt)), 1),
    _xlpm.filtered, _xlfn._xlws.FILTER(_xlpm.chars, NOT(ISNUMBER(SEARCH(_xlpm.chars, "ABCDEFGHIJKLMNOPQRSTUVWXYZabcdefghijklmnopqrstuvwxyz")))),
    _xlfn.TEXTJOIN("",, _xlpm.filtered)
)</f>
        <v>000664</v>
      </c>
      <c r="B422" s="3" t="s">
        <v>1748</v>
      </c>
      <c r="C422" s="3" t="s">
        <v>1749</v>
      </c>
      <c r="D422" s="4">
        <v>200</v>
      </c>
      <c r="E422" s="3" t="s">
        <v>181</v>
      </c>
      <c r="F422" s="3" t="s">
        <v>1750</v>
      </c>
      <c r="G422" s="3" t="s">
        <v>1751</v>
      </c>
      <c r="H422" s="3" t="s">
        <v>184</v>
      </c>
      <c r="I422" s="3" t="s">
        <v>550</v>
      </c>
      <c r="J422" s="3" t="s">
        <v>60</v>
      </c>
      <c r="K422" s="3" t="s">
        <v>37</v>
      </c>
      <c r="L422" s="3" t="s">
        <v>174</v>
      </c>
      <c r="M422" s="3" t="s">
        <v>24</v>
      </c>
      <c r="N422" s="3" t="s">
        <v>25</v>
      </c>
      <c r="O422" t="str">
        <f>"2025-02-01"</f>
        <v>2025-02-01</v>
      </c>
      <c r="P422" t="str">
        <f>"2026-01-31"</f>
        <v>2026-01-31</v>
      </c>
    </row>
    <row r="423" spans="1:16" x14ac:dyDescent="0.2">
      <c r="A423" t="str" cm="1">
        <f t="array" ref="A423">_xlfn.LET(
    _xlpm.txt, B423,
    _xlpm.chars, MID(_xlpm.txt, _xlfn.SEQUENCE(LEN(_xlpm.txt)), 1),
    _xlpm.filtered, _xlfn._xlws.FILTER(_xlpm.chars, NOT(ISNUMBER(SEARCH(_xlpm.chars, "ABCDEFGHIJKLMNOPQRSTUVWXYZabcdefghijklmnopqrstuvwxyz")))),
    _xlfn.TEXTJOIN("",, _xlpm.filtered)
)</f>
        <v>000665</v>
      </c>
      <c r="B423" s="3" t="s">
        <v>1752</v>
      </c>
      <c r="C423" s="3" t="s">
        <v>1753</v>
      </c>
      <c r="D423" s="4">
        <v>160</v>
      </c>
      <c r="E423" s="3" t="s">
        <v>1754</v>
      </c>
      <c r="F423" s="3" t="s">
        <v>1755</v>
      </c>
      <c r="G423" s="3" t="s">
        <v>1756</v>
      </c>
      <c r="H423" s="3" t="s">
        <v>84</v>
      </c>
      <c r="I423" s="3" t="s">
        <v>20</v>
      </c>
      <c r="J423" s="3" t="s">
        <v>85</v>
      </c>
      <c r="K423" s="3" t="s">
        <v>33</v>
      </c>
      <c r="L423" s="3" t="s">
        <v>47</v>
      </c>
      <c r="M423" s="3" t="s">
        <v>33</v>
      </c>
      <c r="N423" s="3" t="s">
        <v>25</v>
      </c>
      <c r="O423" t="str">
        <f>"2025-01-18"</f>
        <v>2025-01-18</v>
      </c>
      <c r="P423" t="str">
        <f>"2026-01-17"</f>
        <v>2026-01-17</v>
      </c>
    </row>
    <row r="424" spans="1:16" x14ac:dyDescent="0.2">
      <c r="A424" t="str" cm="1">
        <f t="array" ref="A424">_xlfn.LET(
    _xlpm.txt, B424,
    _xlpm.chars, MID(_xlpm.txt, _xlfn.SEQUENCE(LEN(_xlpm.txt)), 1),
    _xlpm.filtered, _xlfn._xlws.FILTER(_xlpm.chars, NOT(ISNUMBER(SEARCH(_xlpm.chars, "ABCDEFGHIJKLMNOPQRSTUVWXYZabcdefghijklmnopqrstuvwxyz")))),
    _xlfn.TEXTJOIN("",, _xlpm.filtered)
)</f>
        <v>000667</v>
      </c>
      <c r="B424" s="3" t="s">
        <v>1757</v>
      </c>
      <c r="C424" s="3" t="s">
        <v>1218</v>
      </c>
      <c r="D424" s="4">
        <v>900</v>
      </c>
      <c r="E424" s="3" t="s">
        <v>1219</v>
      </c>
      <c r="F424" s="3" t="s">
        <v>1758</v>
      </c>
      <c r="G424" s="3" t="s">
        <v>1759</v>
      </c>
      <c r="H424" s="3" t="s">
        <v>19</v>
      </c>
      <c r="I424" s="3" t="s">
        <v>33</v>
      </c>
      <c r="J424" s="3" t="s">
        <v>21</v>
      </c>
      <c r="K424" s="3" t="s">
        <v>33</v>
      </c>
      <c r="L424" s="3" t="s">
        <v>1546</v>
      </c>
      <c r="M424" s="3" t="s">
        <v>33</v>
      </c>
      <c r="N424" s="3" t="s">
        <v>25</v>
      </c>
      <c r="O424" t="str">
        <f>"2025-01-01"</f>
        <v>2025-01-01</v>
      </c>
      <c r="P424" t="str">
        <f>"2026-12-31"</f>
        <v>2026-12-31</v>
      </c>
    </row>
    <row r="425" spans="1:16" x14ac:dyDescent="0.2">
      <c r="A425" t="str" cm="1">
        <f t="array" ref="A425">_xlfn.LET(
    _xlpm.txt, B425,
    _xlpm.chars, MID(_xlpm.txt, _xlfn.SEQUENCE(LEN(_xlpm.txt)), 1),
    _xlpm.filtered, _xlfn._xlws.FILTER(_xlpm.chars, NOT(ISNUMBER(SEARCH(_xlpm.chars, "ABCDEFGHIJKLMNOPQRSTUVWXYZabcdefghijklmnopqrstuvwxyz")))),
    _xlfn.TEXTJOIN("",, _xlpm.filtered)
)</f>
        <v>000668</v>
      </c>
      <c r="B425" s="3" t="s">
        <v>1760</v>
      </c>
      <c r="C425" s="3" t="s">
        <v>187</v>
      </c>
      <c r="D425" s="4">
        <v>980</v>
      </c>
      <c r="E425" s="3" t="s">
        <v>188</v>
      </c>
      <c r="F425" s="3" t="s">
        <v>1761</v>
      </c>
      <c r="G425" s="3" t="s">
        <v>1762</v>
      </c>
      <c r="H425" s="3" t="s">
        <v>19</v>
      </c>
      <c r="I425" s="3" t="s">
        <v>20</v>
      </c>
      <c r="J425" s="3" t="s">
        <v>21</v>
      </c>
      <c r="K425" s="3" t="s">
        <v>1546</v>
      </c>
      <c r="L425" s="3" t="s">
        <v>1546</v>
      </c>
      <c r="M425" s="3" t="s">
        <v>1546</v>
      </c>
      <c r="N425" s="3" t="s">
        <v>25</v>
      </c>
      <c r="O425" t="str">
        <f>"2025-01-01"</f>
        <v>2025-01-01</v>
      </c>
      <c r="P425" t="str">
        <f>"2026-12-31"</f>
        <v>2026-12-31</v>
      </c>
    </row>
    <row r="426" spans="1:16" x14ac:dyDescent="0.2">
      <c r="A426" t="str" cm="1">
        <f t="array" ref="A426">_xlfn.LET(
    _xlpm.txt, B426,
    _xlpm.chars, MID(_xlpm.txt, _xlfn.SEQUENCE(LEN(_xlpm.txt)), 1),
    _xlpm.filtered, _xlfn._xlws.FILTER(_xlpm.chars, NOT(ISNUMBER(SEARCH(_xlpm.chars, "ABCDEFGHIJKLMNOPQRSTUVWXYZabcdefghijklmnopqrstuvwxyz")))),
    _xlfn.TEXTJOIN("",, _xlpm.filtered)
)</f>
        <v>000669</v>
      </c>
      <c r="B426" s="3" t="s">
        <v>1763</v>
      </c>
      <c r="C426" s="3" t="s">
        <v>187</v>
      </c>
      <c r="D426" s="4">
        <v>980</v>
      </c>
      <c r="E426" s="3" t="s">
        <v>188</v>
      </c>
      <c r="F426" s="3" t="s">
        <v>1764</v>
      </c>
      <c r="G426" s="3" t="s">
        <v>1765</v>
      </c>
      <c r="H426" s="3" t="s">
        <v>19</v>
      </c>
      <c r="I426" s="3" t="s">
        <v>20</v>
      </c>
      <c r="J426" s="3" t="s">
        <v>229</v>
      </c>
      <c r="K426" s="3" t="s">
        <v>499</v>
      </c>
      <c r="L426" s="3" t="s">
        <v>1546</v>
      </c>
      <c r="M426" s="3" t="s">
        <v>499</v>
      </c>
      <c r="N426" s="3" t="s">
        <v>25</v>
      </c>
      <c r="O426" t="str">
        <f>"2025-01-01"</f>
        <v>2025-01-01</v>
      </c>
      <c r="P426" t="str">
        <f>"2026-12-31"</f>
        <v>2026-12-31</v>
      </c>
    </row>
    <row r="427" spans="1:16" x14ac:dyDescent="0.2">
      <c r="A427" t="str" cm="1">
        <f t="array" ref="A427">_xlfn.LET(
    _xlpm.txt, B427,
    _xlpm.chars, MID(_xlpm.txt, _xlfn.SEQUENCE(LEN(_xlpm.txt)), 1),
    _xlpm.filtered, _xlfn._xlws.FILTER(_xlpm.chars, NOT(ISNUMBER(SEARCH(_xlpm.chars, "ABCDEFGHIJKLMNOPQRSTUVWXYZabcdefghijklmnopqrstuvwxyz")))),
    _xlfn.TEXTJOIN("",, _xlpm.filtered)
)</f>
        <v>000670</v>
      </c>
      <c r="B427" s="3" t="s">
        <v>1766</v>
      </c>
      <c r="C427" s="3" t="s">
        <v>187</v>
      </c>
      <c r="D427" s="4">
        <v>980</v>
      </c>
      <c r="E427" s="3" t="s">
        <v>188</v>
      </c>
      <c r="F427" s="3" t="s">
        <v>1767</v>
      </c>
      <c r="G427" s="3" t="s">
        <v>1768</v>
      </c>
      <c r="H427" s="3" t="s">
        <v>19</v>
      </c>
      <c r="I427" s="3" t="s">
        <v>20</v>
      </c>
      <c r="J427" s="3" t="s">
        <v>229</v>
      </c>
      <c r="K427" s="3" t="s">
        <v>499</v>
      </c>
      <c r="L427" s="3" t="s">
        <v>1546</v>
      </c>
      <c r="M427" s="3" t="s">
        <v>499</v>
      </c>
      <c r="N427" s="3" t="s">
        <v>25</v>
      </c>
      <c r="O427" t="str">
        <f>"2025-01-01"</f>
        <v>2025-01-01</v>
      </c>
      <c r="P427" t="str">
        <f>"2026-12-31"</f>
        <v>2026-12-31</v>
      </c>
    </row>
    <row r="428" spans="1:16" x14ac:dyDescent="0.2">
      <c r="A428" t="str" cm="1">
        <f t="array" ref="A428">_xlfn.LET(
    _xlpm.txt, B428,
    _xlpm.chars, MID(_xlpm.txt, _xlfn.SEQUENCE(LEN(_xlpm.txt)), 1),
    _xlpm.filtered, _xlfn._xlws.FILTER(_xlpm.chars, NOT(ISNUMBER(SEARCH(_xlpm.chars, "ABCDEFGHIJKLMNOPQRSTUVWXYZabcdefghijklmnopqrstuvwxyz")))),
    _xlfn.TEXTJOIN("",, _xlpm.filtered)
)</f>
        <v>000672</v>
      </c>
      <c r="B428" s="3" t="s">
        <v>1769</v>
      </c>
      <c r="C428" s="3" t="s">
        <v>1770</v>
      </c>
      <c r="D428" s="4">
        <v>140</v>
      </c>
      <c r="E428" s="3" t="s">
        <v>1771</v>
      </c>
      <c r="F428" s="3" t="s">
        <v>33</v>
      </c>
      <c r="G428" s="3" t="s">
        <v>1772</v>
      </c>
      <c r="H428" s="3" t="s">
        <v>105</v>
      </c>
      <c r="I428" s="3" t="s">
        <v>33</v>
      </c>
      <c r="J428" s="3" t="s">
        <v>36</v>
      </c>
      <c r="K428" s="3" t="s">
        <v>33</v>
      </c>
      <c r="L428" s="3" t="s">
        <v>23</v>
      </c>
      <c r="M428" s="3" t="s">
        <v>33</v>
      </c>
      <c r="N428" s="3" t="s">
        <v>25</v>
      </c>
      <c r="O428" t="str">
        <f>"2025-02-01"</f>
        <v>2025-02-01</v>
      </c>
      <c r="P428" t="str">
        <f>"2026-01-31"</f>
        <v>2026-01-31</v>
      </c>
    </row>
    <row r="429" spans="1:16" x14ac:dyDescent="0.2">
      <c r="A429" t="str" cm="1">
        <f t="array" ref="A429">_xlfn.LET(
    _xlpm.txt, B429,
    _xlpm.chars, MID(_xlpm.txt, _xlfn.SEQUENCE(LEN(_xlpm.txt)), 1),
    _xlpm.filtered, _xlfn._xlws.FILTER(_xlpm.chars, NOT(ISNUMBER(SEARCH(_xlpm.chars, "ABCDEFGHIJKLMNOPQRSTUVWXYZabcdefghijklmnopqrstuvwxyz")))),
    _xlfn.TEXTJOIN("",, _xlpm.filtered)
)</f>
        <v>000674</v>
      </c>
      <c r="B429" s="3" t="s">
        <v>1773</v>
      </c>
      <c r="C429" s="3" t="s">
        <v>1774</v>
      </c>
      <c r="D429" s="4">
        <v>400</v>
      </c>
      <c r="E429" s="3" t="s">
        <v>1775</v>
      </c>
      <c r="F429" s="3" t="s">
        <v>1776</v>
      </c>
      <c r="G429" s="3" t="s">
        <v>1777</v>
      </c>
      <c r="H429" s="3" t="s">
        <v>59</v>
      </c>
      <c r="I429" s="3" t="s">
        <v>20</v>
      </c>
      <c r="J429" s="3" t="s">
        <v>119</v>
      </c>
      <c r="K429" s="3" t="s">
        <v>37</v>
      </c>
      <c r="L429" s="3" t="s">
        <v>378</v>
      </c>
      <c r="M429" s="3" t="s">
        <v>144</v>
      </c>
      <c r="N429" s="3" t="s">
        <v>25</v>
      </c>
      <c r="O429" t="str">
        <f>"2025-02-01"</f>
        <v>2025-02-01</v>
      </c>
      <c r="P429" t="str">
        <f>"2026-01-31"</f>
        <v>2026-01-31</v>
      </c>
    </row>
    <row r="430" spans="1:16" x14ac:dyDescent="0.2">
      <c r="A430" t="str" cm="1">
        <f t="array" ref="A430">_xlfn.LET(
    _xlpm.txt, B430,
    _xlpm.chars, MID(_xlpm.txt, _xlfn.SEQUENCE(LEN(_xlpm.txt)), 1),
    _xlpm.filtered, _xlfn._xlws.FILTER(_xlpm.chars, NOT(ISNUMBER(SEARCH(_xlpm.chars, "ABCDEFGHIJKLMNOPQRSTUVWXYZabcdefghijklmnopqrstuvwxyz")))),
    _xlfn.TEXTJOIN("",, _xlpm.filtered)
)</f>
        <v>000675</v>
      </c>
      <c r="B430" s="3" t="s">
        <v>1778</v>
      </c>
      <c r="C430" s="3" t="s">
        <v>121</v>
      </c>
      <c r="D430" s="4">
        <v>150</v>
      </c>
      <c r="E430" s="3" t="s">
        <v>122</v>
      </c>
      <c r="F430" s="3" t="s">
        <v>33</v>
      </c>
      <c r="G430" s="3" t="s">
        <v>1779</v>
      </c>
      <c r="H430" s="3" t="s">
        <v>928</v>
      </c>
      <c r="I430" s="3" t="s">
        <v>20</v>
      </c>
      <c r="J430" s="3" t="s">
        <v>85</v>
      </c>
      <c r="K430" s="3" t="s">
        <v>37</v>
      </c>
      <c r="L430" s="3" t="s">
        <v>38</v>
      </c>
      <c r="M430" s="3" t="s">
        <v>87</v>
      </c>
      <c r="N430" s="3" t="s">
        <v>25</v>
      </c>
      <c r="O430" t="str">
        <f>"2025-02-01"</f>
        <v>2025-02-01</v>
      </c>
      <c r="P430" t="str">
        <f>"2026-01-31"</f>
        <v>2026-01-31</v>
      </c>
    </row>
    <row r="431" spans="1:16" x14ac:dyDescent="0.2">
      <c r="A431" t="str" cm="1">
        <f t="array" ref="A431">_xlfn.LET(
    _xlpm.txt, B431,
    _xlpm.chars, MID(_xlpm.txt, _xlfn.SEQUENCE(LEN(_xlpm.txt)), 1),
    _xlpm.filtered, _xlfn._xlws.FILTER(_xlpm.chars, NOT(ISNUMBER(SEARCH(_xlpm.chars, "ABCDEFGHIJKLMNOPQRSTUVWXYZabcdefghijklmnopqrstuvwxyz")))),
    _xlfn.TEXTJOIN("",, _xlpm.filtered)
)</f>
        <v>000676</v>
      </c>
      <c r="B431" s="3" t="s">
        <v>1780</v>
      </c>
      <c r="C431" s="3" t="s">
        <v>1781</v>
      </c>
      <c r="D431" s="4">
        <v>120</v>
      </c>
      <c r="E431" s="3" t="s">
        <v>1782</v>
      </c>
      <c r="F431" s="3" t="s">
        <v>33</v>
      </c>
      <c r="G431" s="3" t="s">
        <v>1783</v>
      </c>
      <c r="H431" s="3" t="s">
        <v>413</v>
      </c>
      <c r="I431" s="3" t="s">
        <v>33</v>
      </c>
      <c r="J431" s="3" t="s">
        <v>36</v>
      </c>
      <c r="K431" s="3" t="s">
        <v>37</v>
      </c>
      <c r="L431" s="3" t="s">
        <v>408</v>
      </c>
      <c r="M431" s="3" t="s">
        <v>1784</v>
      </c>
      <c r="N431" s="3" t="s">
        <v>25</v>
      </c>
      <c r="O431" t="str">
        <f>"2025-02-02"</f>
        <v>2025-02-02</v>
      </c>
      <c r="P431" t="str">
        <f>"2026-02-01"</f>
        <v>2026-02-01</v>
      </c>
    </row>
    <row r="432" spans="1:16" x14ac:dyDescent="0.2">
      <c r="A432" t="str" cm="1">
        <f t="array" ref="A432">_xlfn.LET(
    _xlpm.txt, B432,
    _xlpm.chars, MID(_xlpm.txt, _xlfn.SEQUENCE(LEN(_xlpm.txt)), 1),
    _xlpm.filtered, _xlfn._xlws.FILTER(_xlpm.chars, NOT(ISNUMBER(SEARCH(_xlpm.chars, "ABCDEFGHIJKLMNOPQRSTUVWXYZabcdefghijklmnopqrstuvwxyz")))),
    _xlfn.TEXTJOIN("",, _xlpm.filtered)
)</f>
        <v>000677</v>
      </c>
      <c r="B432" s="3" t="s">
        <v>1785</v>
      </c>
      <c r="C432" s="3" t="s">
        <v>1786</v>
      </c>
      <c r="D432" s="4">
        <v>150</v>
      </c>
      <c r="E432" s="3" t="s">
        <v>1787</v>
      </c>
      <c r="F432" s="3" t="s">
        <v>33</v>
      </c>
      <c r="G432" s="3" t="s">
        <v>1788</v>
      </c>
      <c r="H432" s="3" t="s">
        <v>736</v>
      </c>
      <c r="I432" s="3" t="s">
        <v>33</v>
      </c>
      <c r="J432" s="3" t="s">
        <v>85</v>
      </c>
      <c r="K432" s="3" t="s">
        <v>37</v>
      </c>
      <c r="L432" s="3" t="s">
        <v>38</v>
      </c>
      <c r="M432" s="3" t="s">
        <v>62</v>
      </c>
      <c r="N432" s="3" t="s">
        <v>25</v>
      </c>
      <c r="O432" t="str">
        <f>"2025-02-08"</f>
        <v>2025-02-08</v>
      </c>
      <c r="P432" t="str">
        <f>"2026-02-07"</f>
        <v>2026-02-07</v>
      </c>
    </row>
    <row r="433" spans="1:16" x14ac:dyDescent="0.2">
      <c r="A433" t="str" cm="1">
        <f t="array" ref="A433">_xlfn.LET(
    _xlpm.txt, B433,
    _xlpm.chars, MID(_xlpm.txt, _xlfn.SEQUENCE(LEN(_xlpm.txt)), 1),
    _xlpm.filtered, _xlfn._xlws.FILTER(_xlpm.chars, NOT(ISNUMBER(SEARCH(_xlpm.chars, "ABCDEFGHIJKLMNOPQRSTUVWXYZabcdefghijklmnopqrstuvwxyz")))),
    _xlfn.TEXTJOIN("",, _xlpm.filtered)
)</f>
        <v>000678</v>
      </c>
      <c r="B433" s="3" t="s">
        <v>1789</v>
      </c>
      <c r="C433" s="3" t="s">
        <v>1790</v>
      </c>
      <c r="D433" s="4">
        <v>140</v>
      </c>
      <c r="E433" s="3" t="s">
        <v>1791</v>
      </c>
      <c r="F433" s="3" t="s">
        <v>33</v>
      </c>
      <c r="G433" s="3" t="s">
        <v>1792</v>
      </c>
      <c r="H433" s="3" t="s">
        <v>928</v>
      </c>
      <c r="I433" s="3" t="s">
        <v>33</v>
      </c>
      <c r="J433" s="3" t="s">
        <v>85</v>
      </c>
      <c r="K433" s="3" t="s">
        <v>22</v>
      </c>
      <c r="L433" s="3" t="s">
        <v>33</v>
      </c>
      <c r="M433" s="3" t="s">
        <v>62</v>
      </c>
      <c r="N433" s="3" t="s">
        <v>25</v>
      </c>
      <c r="O433" t="str">
        <f>"2025-03-01"</f>
        <v>2025-03-01</v>
      </c>
      <c r="P433" t="str">
        <f>"2026-02-28"</f>
        <v>2026-02-28</v>
      </c>
    </row>
    <row r="434" spans="1:16" x14ac:dyDescent="0.2">
      <c r="A434" t="str" cm="1">
        <f t="array" ref="A434">_xlfn.LET(
    _xlpm.txt, B434,
    _xlpm.chars, MID(_xlpm.txt, _xlfn.SEQUENCE(LEN(_xlpm.txt)), 1),
    _xlpm.filtered, _xlfn._xlws.FILTER(_xlpm.chars, NOT(ISNUMBER(SEARCH(_xlpm.chars, "ABCDEFGHIJKLMNOPQRSTUVWXYZabcdefghijklmnopqrstuvwxyz")))),
    _xlfn.TEXTJOIN("",, _xlpm.filtered)
)</f>
        <v>000680</v>
      </c>
      <c r="B434" s="3" t="s">
        <v>1793</v>
      </c>
      <c r="C434" s="3" t="s">
        <v>1794</v>
      </c>
      <c r="D434" s="4">
        <v>360</v>
      </c>
      <c r="E434" s="3" t="s">
        <v>1198</v>
      </c>
      <c r="F434" s="3" t="s">
        <v>1795</v>
      </c>
      <c r="G434" s="3" t="s">
        <v>1796</v>
      </c>
      <c r="H434" s="3" t="s">
        <v>155</v>
      </c>
      <c r="I434" s="3" t="s">
        <v>20</v>
      </c>
      <c r="J434" s="3" t="s">
        <v>73</v>
      </c>
      <c r="K434" s="3" t="s">
        <v>78</v>
      </c>
      <c r="L434" s="3" t="s">
        <v>38</v>
      </c>
      <c r="M434" s="3" t="s">
        <v>1797</v>
      </c>
      <c r="N434" s="3" t="s">
        <v>25</v>
      </c>
      <c r="O434" t="str">
        <f>"2025-03-08"</f>
        <v>2025-03-08</v>
      </c>
      <c r="P434" t="str">
        <f>"2026-03-07"</f>
        <v>2026-03-07</v>
      </c>
    </row>
    <row r="435" spans="1:16" x14ac:dyDescent="0.2">
      <c r="A435" t="str" cm="1">
        <f t="array" ref="A435">_xlfn.LET(
    _xlpm.txt, B435,
    _xlpm.chars, MID(_xlpm.txt, _xlfn.SEQUENCE(LEN(_xlpm.txt)), 1),
    _xlpm.filtered, _xlfn._xlws.FILTER(_xlpm.chars, NOT(ISNUMBER(SEARCH(_xlpm.chars, "ABCDEFGHIJKLMNOPQRSTUVWXYZabcdefghijklmnopqrstuvwxyz")))),
    _xlfn.TEXTJOIN("",, _xlpm.filtered)
)</f>
        <v>000681</v>
      </c>
      <c r="B435" s="3" t="s">
        <v>1798</v>
      </c>
      <c r="C435" s="3" t="s">
        <v>899</v>
      </c>
      <c r="D435" s="4">
        <v>280</v>
      </c>
      <c r="E435" s="3" t="s">
        <v>188</v>
      </c>
      <c r="F435" s="3" t="s">
        <v>33</v>
      </c>
      <c r="G435" s="3" t="s">
        <v>1799</v>
      </c>
      <c r="H435" s="3" t="s">
        <v>1464</v>
      </c>
      <c r="I435" s="3" t="s">
        <v>20</v>
      </c>
      <c r="J435" s="3" t="s">
        <v>36</v>
      </c>
      <c r="K435" s="3" t="s">
        <v>1800</v>
      </c>
      <c r="L435" s="3" t="s">
        <v>138</v>
      </c>
      <c r="M435" s="3" t="s">
        <v>144</v>
      </c>
      <c r="N435" s="3" t="s">
        <v>25</v>
      </c>
      <c r="O435" t="str">
        <f>"2025-01-01"</f>
        <v>2025-01-01</v>
      </c>
      <c r="P435" t="str">
        <f>"2026-12-31"</f>
        <v>2026-12-31</v>
      </c>
    </row>
    <row r="436" spans="1:16" x14ac:dyDescent="0.2">
      <c r="A436" t="str" cm="1">
        <f t="array" ref="A436">_xlfn.LET(
    _xlpm.txt, B436,
    _xlpm.chars, MID(_xlpm.txt, _xlfn.SEQUENCE(LEN(_xlpm.txt)), 1),
    _xlpm.filtered, _xlfn._xlws.FILTER(_xlpm.chars, NOT(ISNUMBER(SEARCH(_xlpm.chars, "ABCDEFGHIJKLMNOPQRSTUVWXYZabcdefghijklmnopqrstuvwxyz")))),
    _xlfn.TEXTJOIN("",, _xlpm.filtered)
)</f>
        <v>000682</v>
      </c>
      <c r="B436" s="3" t="s">
        <v>1801</v>
      </c>
      <c r="C436" s="3" t="s">
        <v>1802</v>
      </c>
      <c r="D436" s="4">
        <v>150</v>
      </c>
      <c r="E436" s="3" t="s">
        <v>1803</v>
      </c>
      <c r="F436" s="3" t="s">
        <v>33</v>
      </c>
      <c r="G436" s="3" t="s">
        <v>1804</v>
      </c>
      <c r="H436" s="3" t="s">
        <v>842</v>
      </c>
      <c r="I436" s="3" t="s">
        <v>33</v>
      </c>
      <c r="J436" s="3" t="s">
        <v>36</v>
      </c>
      <c r="K436" s="3" t="s">
        <v>37</v>
      </c>
      <c r="L436" s="3" t="s">
        <v>378</v>
      </c>
      <c r="M436" s="3" t="s">
        <v>512</v>
      </c>
      <c r="N436" s="3" t="s">
        <v>25</v>
      </c>
      <c r="O436" t="str">
        <f>"2024-04-01"</f>
        <v>2024-04-01</v>
      </c>
      <c r="P436" t="str">
        <f>"2025-03-31"</f>
        <v>2025-03-31</v>
      </c>
    </row>
    <row r="437" spans="1:16" x14ac:dyDescent="0.2">
      <c r="A437" t="str" cm="1">
        <f t="array" ref="A437">_xlfn.LET(
    _xlpm.txt, B437,
    _xlpm.chars, MID(_xlpm.txt, _xlfn.SEQUENCE(LEN(_xlpm.txt)), 1),
    _xlpm.filtered, _xlfn._xlws.FILTER(_xlpm.chars, NOT(ISNUMBER(SEARCH(_xlpm.chars, "ABCDEFGHIJKLMNOPQRSTUVWXYZabcdefghijklmnopqrstuvwxyz")))),
    _xlfn.TEXTJOIN("",, _xlpm.filtered)
)</f>
        <v>000683</v>
      </c>
      <c r="B437" s="3" t="s">
        <v>1805</v>
      </c>
      <c r="C437" s="3" t="s">
        <v>1385</v>
      </c>
      <c r="D437" s="4">
        <v>200</v>
      </c>
      <c r="E437" s="3" t="s">
        <v>1386</v>
      </c>
      <c r="F437" s="3" t="s">
        <v>1806</v>
      </c>
      <c r="G437" s="3" t="s">
        <v>1807</v>
      </c>
      <c r="H437" s="3" t="s">
        <v>1808</v>
      </c>
      <c r="I437" s="3" t="s">
        <v>33</v>
      </c>
      <c r="J437" s="3" t="s">
        <v>67</v>
      </c>
      <c r="K437" s="3" t="s">
        <v>295</v>
      </c>
      <c r="L437" s="3" t="s">
        <v>296</v>
      </c>
      <c r="M437" s="3" t="s">
        <v>297</v>
      </c>
      <c r="N437" s="3" t="s">
        <v>25</v>
      </c>
      <c r="O437" t="str">
        <f>"2024-04-15"</f>
        <v>2024-04-15</v>
      </c>
      <c r="P437" t="str">
        <f>"2025-04-14"</f>
        <v>2025-04-14</v>
      </c>
    </row>
    <row r="438" spans="1:16" x14ac:dyDescent="0.2">
      <c r="A438" t="str" cm="1">
        <f t="array" ref="A438">_xlfn.LET(
    _xlpm.txt, B438,
    _xlpm.chars, MID(_xlpm.txt, _xlfn.SEQUENCE(LEN(_xlpm.txt)), 1),
    _xlpm.filtered, _xlfn._xlws.FILTER(_xlpm.chars, NOT(ISNUMBER(SEARCH(_xlpm.chars, "ABCDEFGHIJKLMNOPQRSTUVWXYZabcdefghijklmnopqrstuvwxyz")))),
    _xlfn.TEXTJOIN("",, _xlpm.filtered)
)</f>
        <v>000684</v>
      </c>
      <c r="B438" s="3" t="s">
        <v>1809</v>
      </c>
      <c r="C438" s="3" t="s">
        <v>1810</v>
      </c>
      <c r="D438" s="4">
        <v>150</v>
      </c>
      <c r="E438" s="3" t="s">
        <v>1811</v>
      </c>
      <c r="F438" s="3" t="s">
        <v>33</v>
      </c>
      <c r="G438" s="3" t="s">
        <v>1812</v>
      </c>
      <c r="H438" s="3" t="s">
        <v>842</v>
      </c>
      <c r="I438" s="3" t="s">
        <v>550</v>
      </c>
      <c r="J438" s="3" t="s">
        <v>36</v>
      </c>
      <c r="K438" s="3" t="s">
        <v>61</v>
      </c>
      <c r="L438" s="3" t="s">
        <v>38</v>
      </c>
      <c r="M438" s="3" t="s">
        <v>62</v>
      </c>
      <c r="N438" s="3" t="s">
        <v>25</v>
      </c>
      <c r="O438" t="str">
        <f>"2025-05-01"</f>
        <v>2025-05-01</v>
      </c>
      <c r="P438" t="str">
        <f>"2026-04-30"</f>
        <v>2026-04-30</v>
      </c>
    </row>
    <row r="439" spans="1:16" x14ac:dyDescent="0.2">
      <c r="A439" t="str" cm="1">
        <f t="array" ref="A439">_xlfn.LET(
    _xlpm.txt, B439,
    _xlpm.chars, MID(_xlpm.txt, _xlfn.SEQUENCE(LEN(_xlpm.txt)), 1),
    _xlpm.filtered, _xlfn._xlws.FILTER(_xlpm.chars, NOT(ISNUMBER(SEARCH(_xlpm.chars, "ABCDEFGHIJKLMNOPQRSTUVWXYZabcdefghijklmnopqrstuvwxyz")))),
    _xlfn.TEXTJOIN("",, _xlpm.filtered)
)</f>
        <v>000685</v>
      </c>
      <c r="B439" s="3" t="s">
        <v>1813</v>
      </c>
      <c r="C439" s="3" t="s">
        <v>1814</v>
      </c>
      <c r="D439" s="4">
        <v>360</v>
      </c>
      <c r="E439" s="3" t="s">
        <v>1815</v>
      </c>
      <c r="F439" s="3" t="s">
        <v>1816</v>
      </c>
      <c r="G439" s="3" t="s">
        <v>1817</v>
      </c>
      <c r="H439" s="3" t="s">
        <v>84</v>
      </c>
      <c r="I439" s="3" t="s">
        <v>550</v>
      </c>
      <c r="J439" s="3" t="s">
        <v>21</v>
      </c>
      <c r="K439" s="3" t="s">
        <v>22</v>
      </c>
      <c r="L439" s="3" t="s">
        <v>23</v>
      </c>
      <c r="M439" s="3" t="s">
        <v>562</v>
      </c>
      <c r="N439" s="3" t="s">
        <v>25</v>
      </c>
      <c r="O439" t="str">
        <f>"2025-04-11"</f>
        <v>2025-04-11</v>
      </c>
      <c r="P439" t="str">
        <f>"2026-04-10"</f>
        <v>2026-04-10</v>
      </c>
    </row>
    <row r="440" spans="1:16" x14ac:dyDescent="0.2">
      <c r="A440" t="str" cm="1">
        <f t="array" ref="A440">_xlfn.LET(
    _xlpm.txt, B440,
    _xlpm.chars, MID(_xlpm.txt, _xlfn.SEQUENCE(LEN(_xlpm.txt)), 1),
    _xlpm.filtered, _xlfn._xlws.FILTER(_xlpm.chars, NOT(ISNUMBER(SEARCH(_xlpm.chars, "ABCDEFGHIJKLMNOPQRSTUVWXYZabcdefghijklmnopqrstuvwxyz")))),
    _xlfn.TEXTJOIN("",, _xlpm.filtered)
)</f>
        <v>000686</v>
      </c>
      <c r="B440" s="3" t="s">
        <v>1818</v>
      </c>
      <c r="C440" s="3" t="s">
        <v>1218</v>
      </c>
      <c r="D440" s="4">
        <v>700</v>
      </c>
      <c r="E440" s="3" t="s">
        <v>1219</v>
      </c>
      <c r="F440" s="3" t="s">
        <v>1819</v>
      </c>
      <c r="G440" s="3" t="s">
        <v>1820</v>
      </c>
      <c r="H440" s="3" t="s">
        <v>132</v>
      </c>
      <c r="I440" s="3" t="s">
        <v>20</v>
      </c>
      <c r="J440" s="3" t="s">
        <v>119</v>
      </c>
      <c r="K440" s="3" t="s">
        <v>37</v>
      </c>
      <c r="L440" s="3" t="s">
        <v>445</v>
      </c>
      <c r="M440" s="3" t="s">
        <v>24</v>
      </c>
      <c r="N440" s="3" t="s">
        <v>25</v>
      </c>
      <c r="O440" t="str">
        <f>"2025-01-01"</f>
        <v>2025-01-01</v>
      </c>
      <c r="P440" t="str">
        <f>"2026-12-31"</f>
        <v>2026-12-31</v>
      </c>
    </row>
    <row r="441" spans="1:16" x14ac:dyDescent="0.2">
      <c r="A441" t="str" cm="1">
        <f t="array" ref="A441">_xlfn.LET(
    _xlpm.txt, B441,
    _xlpm.chars, MID(_xlpm.txt, _xlfn.SEQUENCE(LEN(_xlpm.txt)), 1),
    _xlpm.filtered, _xlfn._xlws.FILTER(_xlpm.chars, NOT(ISNUMBER(SEARCH(_xlpm.chars, "ABCDEFGHIJKLMNOPQRSTUVWXYZabcdefghijklmnopqrstuvwxyz")))),
    _xlfn.TEXTJOIN("",, _xlpm.filtered)
)</f>
        <v>000687</v>
      </c>
      <c r="B441" s="3" t="s">
        <v>1821</v>
      </c>
      <c r="C441" s="3" t="s">
        <v>1822</v>
      </c>
      <c r="D441" s="4">
        <v>150</v>
      </c>
      <c r="E441" s="3" t="s">
        <v>1823</v>
      </c>
      <c r="F441" s="3" t="s">
        <v>1823</v>
      </c>
      <c r="G441" s="3" t="s">
        <v>1824</v>
      </c>
      <c r="H441" s="3" t="s">
        <v>35</v>
      </c>
      <c r="I441" s="3" t="s">
        <v>20</v>
      </c>
      <c r="J441" s="3" t="s">
        <v>67</v>
      </c>
      <c r="K441" s="3" t="s">
        <v>1825</v>
      </c>
      <c r="L441" s="3" t="s">
        <v>38</v>
      </c>
      <c r="M441" s="3" t="s">
        <v>185</v>
      </c>
      <c r="N441" s="3" t="s">
        <v>25</v>
      </c>
      <c r="O441" t="str">
        <f>"2025-05-01"</f>
        <v>2025-05-01</v>
      </c>
      <c r="P441" t="str">
        <f>"2026-04-30"</f>
        <v>2026-04-30</v>
      </c>
    </row>
    <row r="442" spans="1:16" x14ac:dyDescent="0.2">
      <c r="A442" t="str" cm="1">
        <f t="array" ref="A442">_xlfn.LET(
    _xlpm.txt, B442,
    _xlpm.chars, MID(_xlpm.txt, _xlfn.SEQUENCE(LEN(_xlpm.txt)), 1),
    _xlpm.filtered, _xlfn._xlws.FILTER(_xlpm.chars, NOT(ISNUMBER(SEARCH(_xlpm.chars, "ABCDEFGHIJKLMNOPQRSTUVWXYZabcdefghijklmnopqrstuvwxyz")))),
    _xlfn.TEXTJOIN("",, _xlpm.filtered)
)</f>
        <v>000688</v>
      </c>
      <c r="B442" s="3" t="s">
        <v>1826</v>
      </c>
      <c r="C442" s="3" t="s">
        <v>1827</v>
      </c>
      <c r="D442" s="4">
        <v>150</v>
      </c>
      <c r="E442" s="3" t="s">
        <v>1828</v>
      </c>
      <c r="F442" s="3" t="s">
        <v>33</v>
      </c>
      <c r="G442" s="3" t="s">
        <v>1829</v>
      </c>
      <c r="H442" s="3" t="s">
        <v>105</v>
      </c>
      <c r="I442" s="3" t="s">
        <v>33</v>
      </c>
      <c r="J442" s="3" t="s">
        <v>36</v>
      </c>
      <c r="K442" s="3" t="s">
        <v>37</v>
      </c>
      <c r="L442" s="3" t="s">
        <v>47</v>
      </c>
      <c r="M442" s="3" t="s">
        <v>1830</v>
      </c>
      <c r="N442" s="3" t="s">
        <v>25</v>
      </c>
      <c r="O442" t="str">
        <f>"2025-05-06"</f>
        <v>2025-05-06</v>
      </c>
      <c r="P442" t="str">
        <f>"2026-05-05"</f>
        <v>2026-05-05</v>
      </c>
    </row>
    <row r="443" spans="1:16" x14ac:dyDescent="0.2">
      <c r="A443" t="str" cm="1">
        <f t="array" ref="A443">_xlfn.LET(
    _xlpm.txt, B443,
    _xlpm.chars, MID(_xlpm.txt, _xlfn.SEQUENCE(LEN(_xlpm.txt)), 1),
    _xlpm.filtered, _xlfn._xlws.FILTER(_xlpm.chars, NOT(ISNUMBER(SEARCH(_xlpm.chars, "ABCDEFGHIJKLMNOPQRSTUVWXYZabcdefghijklmnopqrstuvwxyz")))),
    _xlfn.TEXTJOIN("",, _xlpm.filtered)
)</f>
        <v>000689</v>
      </c>
      <c r="B443" s="3" t="s">
        <v>1831</v>
      </c>
      <c r="C443" s="3" t="s">
        <v>1832</v>
      </c>
      <c r="D443" s="4">
        <v>300</v>
      </c>
      <c r="E443" s="3" t="s">
        <v>1833</v>
      </c>
      <c r="F443" s="3" t="s">
        <v>33</v>
      </c>
      <c r="G443" s="3" t="s">
        <v>1834</v>
      </c>
      <c r="H443" s="3" t="s">
        <v>302</v>
      </c>
      <c r="I443" s="3" t="s">
        <v>20</v>
      </c>
      <c r="J443" s="3" t="s">
        <v>36</v>
      </c>
      <c r="K443" s="3" t="s">
        <v>499</v>
      </c>
      <c r="L443" s="3" t="s">
        <v>1835</v>
      </c>
      <c r="M443" s="3" t="s">
        <v>499</v>
      </c>
      <c r="N443" s="3" t="s">
        <v>25</v>
      </c>
      <c r="O443" t="str">
        <f>"2025-05-10"</f>
        <v>2025-05-10</v>
      </c>
      <c r="P443" t="str">
        <f>"2026-05-09"</f>
        <v>2026-05-09</v>
      </c>
    </row>
    <row r="444" spans="1:16" x14ac:dyDescent="0.2">
      <c r="A444" t="str" cm="1">
        <f t="array" ref="A444">_xlfn.LET(
    _xlpm.txt, B444,
    _xlpm.chars, MID(_xlpm.txt, _xlfn.SEQUENCE(LEN(_xlpm.txt)), 1),
    _xlpm.filtered, _xlfn._xlws.FILTER(_xlpm.chars, NOT(ISNUMBER(SEARCH(_xlpm.chars, "ABCDEFGHIJKLMNOPQRSTUVWXYZabcdefghijklmnopqrstuvwxyz")))),
    _xlfn.TEXTJOIN("",, _xlpm.filtered)
)</f>
        <v>000690</v>
      </c>
      <c r="B444" s="3" t="s">
        <v>1836</v>
      </c>
      <c r="C444" s="3" t="s">
        <v>1837</v>
      </c>
      <c r="D444" s="4">
        <v>120</v>
      </c>
      <c r="E444" s="3" t="s">
        <v>1838</v>
      </c>
      <c r="F444" s="3" t="s">
        <v>33</v>
      </c>
      <c r="G444" s="3" t="s">
        <v>1839</v>
      </c>
      <c r="H444" s="3" t="s">
        <v>363</v>
      </c>
      <c r="I444" s="3" t="s">
        <v>550</v>
      </c>
      <c r="J444" s="3" t="s">
        <v>36</v>
      </c>
      <c r="K444" s="3" t="s">
        <v>37</v>
      </c>
      <c r="L444" s="3" t="s">
        <v>38</v>
      </c>
      <c r="M444" s="3" t="s">
        <v>126</v>
      </c>
      <c r="N444" s="3" t="s">
        <v>273</v>
      </c>
      <c r="O444" t="str">
        <f>"2025-05-10"</f>
        <v>2025-05-10</v>
      </c>
      <c r="P444" t="str">
        <f>"2026-05-09"</f>
        <v>2026-05-09</v>
      </c>
    </row>
    <row r="445" spans="1:16" x14ac:dyDescent="0.2">
      <c r="A445" t="str" cm="1">
        <f t="array" ref="A445">_xlfn.LET(
    _xlpm.txt, B445,
    _xlpm.chars, MID(_xlpm.txt, _xlfn.SEQUENCE(LEN(_xlpm.txt)), 1),
    _xlpm.filtered, _xlfn._xlws.FILTER(_xlpm.chars, NOT(ISNUMBER(SEARCH(_xlpm.chars, "ABCDEFGHIJKLMNOPQRSTUVWXYZabcdefghijklmnopqrstuvwxyz")))),
    _xlfn.TEXTJOIN("",, _xlpm.filtered)
)</f>
        <v>000691</v>
      </c>
      <c r="B445" s="3" t="s">
        <v>1840</v>
      </c>
      <c r="C445" s="3" t="s">
        <v>1841</v>
      </c>
      <c r="D445" s="4">
        <v>110</v>
      </c>
      <c r="E445" s="3" t="s">
        <v>1842</v>
      </c>
      <c r="F445" s="3" t="s">
        <v>33</v>
      </c>
      <c r="G445" s="3" t="s">
        <v>1843</v>
      </c>
      <c r="H445" s="3" t="s">
        <v>35</v>
      </c>
      <c r="I445" s="3" t="s">
        <v>33</v>
      </c>
      <c r="J445" s="3" t="s">
        <v>36</v>
      </c>
      <c r="K445" s="3" t="s">
        <v>37</v>
      </c>
      <c r="L445" s="3" t="s">
        <v>174</v>
      </c>
      <c r="M445" s="3" t="s">
        <v>144</v>
      </c>
      <c r="N445" s="3" t="s">
        <v>273</v>
      </c>
      <c r="O445" t="str">
        <f>"2025-05-10"</f>
        <v>2025-05-10</v>
      </c>
      <c r="P445" t="str">
        <f>"2026-05-09"</f>
        <v>2026-05-09</v>
      </c>
    </row>
    <row r="446" spans="1:16" x14ac:dyDescent="0.2">
      <c r="A446" t="str" cm="1">
        <f t="array" ref="A446">_xlfn.LET(
    _xlpm.txt, B446,
    _xlpm.chars, MID(_xlpm.txt, _xlfn.SEQUENCE(LEN(_xlpm.txt)), 1),
    _xlpm.filtered, _xlfn._xlws.FILTER(_xlpm.chars, NOT(ISNUMBER(SEARCH(_xlpm.chars, "ABCDEFGHIJKLMNOPQRSTUVWXYZabcdefghijklmnopqrstuvwxyz")))),
    _xlfn.TEXTJOIN("",, _xlpm.filtered)
)</f>
        <v>000696</v>
      </c>
      <c r="B446" s="3" t="s">
        <v>1844</v>
      </c>
      <c r="C446" s="3" t="s">
        <v>286</v>
      </c>
      <c r="D446" s="4">
        <v>130</v>
      </c>
      <c r="E446" s="3" t="s">
        <v>370</v>
      </c>
      <c r="F446" s="3" t="s">
        <v>33</v>
      </c>
      <c r="G446" s="3" t="s">
        <v>1845</v>
      </c>
      <c r="H446" s="3" t="s">
        <v>665</v>
      </c>
      <c r="I446" s="3" t="s">
        <v>20</v>
      </c>
      <c r="J446" s="3" t="s">
        <v>36</v>
      </c>
      <c r="K446" s="3" t="s">
        <v>22</v>
      </c>
      <c r="L446" s="3" t="s">
        <v>38</v>
      </c>
      <c r="M446" s="3" t="s">
        <v>87</v>
      </c>
      <c r="N446" s="3" t="s">
        <v>25</v>
      </c>
      <c r="O446" t="str">
        <f>"2025-06-01"</f>
        <v>2025-06-01</v>
      </c>
      <c r="P446" t="str">
        <f>"2026-05-31"</f>
        <v>2026-05-31</v>
      </c>
    </row>
    <row r="447" spans="1:16" x14ac:dyDescent="0.2">
      <c r="A447" t="str" cm="1">
        <f t="array" ref="A447">_xlfn.LET(
    _xlpm.txt, B447,
    _xlpm.chars, MID(_xlpm.txt, _xlfn.SEQUENCE(LEN(_xlpm.txt)), 1),
    _xlpm.filtered, _xlfn._xlws.FILTER(_xlpm.chars, NOT(ISNUMBER(SEARCH(_xlpm.chars, "ABCDEFGHIJKLMNOPQRSTUVWXYZabcdefghijklmnopqrstuvwxyz")))),
    _xlfn.TEXTJOIN("",, _xlpm.filtered)
)</f>
        <v>000697</v>
      </c>
      <c r="B447" s="3" t="s">
        <v>1846</v>
      </c>
      <c r="C447" s="3" t="s">
        <v>1847</v>
      </c>
      <c r="D447" s="4">
        <v>360</v>
      </c>
      <c r="E447" s="3" t="s">
        <v>434</v>
      </c>
      <c r="F447" s="3" t="s">
        <v>1848</v>
      </c>
      <c r="G447" s="3" t="s">
        <v>1849</v>
      </c>
      <c r="H447" s="3" t="s">
        <v>59</v>
      </c>
      <c r="I447" s="3" t="s">
        <v>33</v>
      </c>
      <c r="J447" s="3" t="s">
        <v>229</v>
      </c>
      <c r="K447" s="3" t="s">
        <v>22</v>
      </c>
      <c r="L447" s="3" t="s">
        <v>174</v>
      </c>
      <c r="M447" s="3" t="s">
        <v>87</v>
      </c>
      <c r="N447" s="3" t="s">
        <v>25</v>
      </c>
      <c r="O447" t="str">
        <f>"2025-06-01"</f>
        <v>2025-06-01</v>
      </c>
      <c r="P447" t="str">
        <f>"2026-05-31"</f>
        <v>2026-05-31</v>
      </c>
    </row>
    <row r="448" spans="1:16" x14ac:dyDescent="0.2">
      <c r="A448" t="str" cm="1">
        <f t="array" ref="A448">_xlfn.LET(
    _xlpm.txt, B448,
    _xlpm.chars, MID(_xlpm.txt, _xlfn.SEQUENCE(LEN(_xlpm.txt)), 1),
    _xlpm.filtered, _xlfn._xlws.FILTER(_xlpm.chars, NOT(ISNUMBER(SEARCH(_xlpm.chars, "ABCDEFGHIJKLMNOPQRSTUVWXYZabcdefghijklmnopqrstuvwxyz")))),
    _xlfn.TEXTJOIN("",, _xlpm.filtered)
)</f>
        <v>000698</v>
      </c>
      <c r="B448" s="3" t="s">
        <v>1850</v>
      </c>
      <c r="C448" s="3" t="s">
        <v>1851</v>
      </c>
      <c r="D448" s="4">
        <v>150</v>
      </c>
      <c r="E448" s="3" t="s">
        <v>1852</v>
      </c>
      <c r="F448" s="3" t="s">
        <v>33</v>
      </c>
      <c r="G448" s="3" t="s">
        <v>1853</v>
      </c>
      <c r="H448" s="3" t="s">
        <v>941</v>
      </c>
      <c r="I448" s="3" t="s">
        <v>33</v>
      </c>
      <c r="J448" s="3" t="s">
        <v>36</v>
      </c>
      <c r="K448" s="3" t="s">
        <v>37</v>
      </c>
      <c r="L448" s="3" t="s">
        <v>38</v>
      </c>
      <c r="M448" s="3" t="s">
        <v>401</v>
      </c>
      <c r="N448" s="3" t="s">
        <v>25</v>
      </c>
      <c r="O448" t="str">
        <f>"2025-06-04"</f>
        <v>2025-06-04</v>
      </c>
      <c r="P448" t="str">
        <f>"2026-06-03"</f>
        <v>2026-06-03</v>
      </c>
    </row>
    <row r="449" spans="1:16" x14ac:dyDescent="0.2">
      <c r="A449" t="str" cm="1">
        <f t="array" ref="A449">_xlfn.LET(
    _xlpm.txt, B449,
    _xlpm.chars, MID(_xlpm.txt, _xlfn.SEQUENCE(LEN(_xlpm.txt)), 1),
    _xlpm.filtered, _xlfn._xlws.FILTER(_xlpm.chars, NOT(ISNUMBER(SEARCH(_xlpm.chars, "ABCDEFGHIJKLMNOPQRSTUVWXYZabcdefghijklmnopqrstuvwxyz")))),
    _xlfn.TEXTJOIN("",, _xlpm.filtered)
)</f>
        <v>000699</v>
      </c>
      <c r="B449" s="3" t="s">
        <v>1854</v>
      </c>
      <c r="C449" s="3" t="s">
        <v>1855</v>
      </c>
      <c r="D449" s="4">
        <v>150</v>
      </c>
      <c r="E449" s="3" t="s">
        <v>1856</v>
      </c>
      <c r="F449" s="3" t="s">
        <v>1857</v>
      </c>
      <c r="G449" s="3" t="s">
        <v>1858</v>
      </c>
      <c r="H449" s="3" t="s">
        <v>1859</v>
      </c>
      <c r="I449" s="3" t="s">
        <v>550</v>
      </c>
      <c r="J449" s="3" t="s">
        <v>36</v>
      </c>
      <c r="K449" s="3" t="s">
        <v>37</v>
      </c>
      <c r="L449" s="3" t="s">
        <v>38</v>
      </c>
      <c r="M449" s="3" t="s">
        <v>62</v>
      </c>
      <c r="N449" s="3" t="s">
        <v>25</v>
      </c>
      <c r="O449" t="str">
        <f>"2025-06-06"</f>
        <v>2025-06-06</v>
      </c>
      <c r="P449" t="str">
        <f>"2026-06-05"</f>
        <v>2026-06-05</v>
      </c>
    </row>
    <row r="450" spans="1:16" x14ac:dyDescent="0.2">
      <c r="A450" t="str" cm="1">
        <f t="array" ref="A450">_xlfn.LET(
    _xlpm.txt, B450,
    _xlpm.chars, MID(_xlpm.txt, _xlfn.SEQUENCE(LEN(_xlpm.txt)), 1),
    _xlpm.filtered, _xlfn._xlws.FILTER(_xlpm.chars, NOT(ISNUMBER(SEARCH(_xlpm.chars, "ABCDEFGHIJKLMNOPQRSTUVWXYZabcdefghijklmnopqrstuvwxyz")))),
    _xlfn.TEXTJOIN("",, _xlpm.filtered)
)</f>
        <v>000700</v>
      </c>
      <c r="B450" s="3" t="s">
        <v>1860</v>
      </c>
      <c r="C450" s="3" t="s">
        <v>1861</v>
      </c>
      <c r="D450" s="4">
        <v>140</v>
      </c>
      <c r="E450" s="3" t="s">
        <v>1862</v>
      </c>
      <c r="F450" s="3" t="s">
        <v>33</v>
      </c>
      <c r="G450" s="3" t="s">
        <v>1863</v>
      </c>
      <c r="H450" s="3" t="s">
        <v>487</v>
      </c>
      <c r="I450" s="3" t="s">
        <v>33</v>
      </c>
      <c r="J450" s="3" t="s">
        <v>36</v>
      </c>
      <c r="K450" s="3" t="s">
        <v>37</v>
      </c>
      <c r="L450" s="3" t="s">
        <v>138</v>
      </c>
      <c r="M450" s="3" t="s">
        <v>62</v>
      </c>
      <c r="N450" s="3" t="s">
        <v>25</v>
      </c>
      <c r="O450" t="str">
        <f>"2025-06-06"</f>
        <v>2025-06-06</v>
      </c>
      <c r="P450" t="str">
        <f>"2026-06-05"</f>
        <v>2026-06-05</v>
      </c>
    </row>
    <row r="451" spans="1:16" x14ac:dyDescent="0.2">
      <c r="A451" t="str" cm="1">
        <f t="array" ref="A451">_xlfn.LET(
    _xlpm.txt, B451,
    _xlpm.chars, MID(_xlpm.txt, _xlfn.SEQUENCE(LEN(_xlpm.txt)), 1),
    _xlpm.filtered, _xlfn._xlws.FILTER(_xlpm.chars, NOT(ISNUMBER(SEARCH(_xlpm.chars, "ABCDEFGHIJKLMNOPQRSTUVWXYZabcdefghijklmnopqrstuvwxyz")))),
    _xlfn.TEXTJOIN("",, _xlpm.filtered)
)</f>
        <v>000702</v>
      </c>
      <c r="B451" s="3" t="s">
        <v>1864</v>
      </c>
      <c r="C451" s="3" t="s">
        <v>1865</v>
      </c>
      <c r="D451" s="4">
        <v>140</v>
      </c>
      <c r="E451" s="3" t="s">
        <v>1104</v>
      </c>
      <c r="F451" s="3" t="s">
        <v>33</v>
      </c>
      <c r="G451" s="3" t="s">
        <v>1866</v>
      </c>
      <c r="H451" s="3" t="s">
        <v>264</v>
      </c>
      <c r="I451" s="3" t="s">
        <v>33</v>
      </c>
      <c r="J451" s="3" t="s">
        <v>67</v>
      </c>
      <c r="K451" s="3" t="s">
        <v>78</v>
      </c>
      <c r="L451" s="3" t="s">
        <v>23</v>
      </c>
      <c r="M451" s="3" t="s">
        <v>820</v>
      </c>
      <c r="N451" s="3" t="s">
        <v>25</v>
      </c>
      <c r="O451" t="str">
        <f>"2025-06-20"</f>
        <v>2025-06-20</v>
      </c>
      <c r="P451" t="str">
        <f>"2026-06-19"</f>
        <v>2026-06-19</v>
      </c>
    </row>
    <row r="452" spans="1:16" x14ac:dyDescent="0.2">
      <c r="A452" t="str" cm="1">
        <f t="array" ref="A452">_xlfn.LET(
    _xlpm.txt, B452,
    _xlpm.chars, MID(_xlpm.txt, _xlfn.SEQUENCE(LEN(_xlpm.txt)), 1),
    _xlpm.filtered, _xlfn._xlws.FILTER(_xlpm.chars, NOT(ISNUMBER(SEARCH(_xlpm.chars, "ABCDEFGHIJKLMNOPQRSTUVWXYZabcdefghijklmnopqrstuvwxyz")))),
    _xlfn.TEXTJOIN("",, _xlpm.filtered)
)</f>
        <v>000703</v>
      </c>
      <c r="B452" s="3" t="s">
        <v>1867</v>
      </c>
      <c r="C452" s="3" t="s">
        <v>1868</v>
      </c>
      <c r="D452" s="4">
        <v>140</v>
      </c>
      <c r="E452" s="3" t="s">
        <v>1869</v>
      </c>
      <c r="F452" s="3" t="s">
        <v>1870</v>
      </c>
      <c r="G452" s="3" t="s">
        <v>1871</v>
      </c>
      <c r="H452" s="3" t="s">
        <v>1808</v>
      </c>
      <c r="I452" s="3" t="s">
        <v>550</v>
      </c>
      <c r="J452" s="3" t="s">
        <v>67</v>
      </c>
      <c r="K452" s="3" t="s">
        <v>37</v>
      </c>
      <c r="L452" s="3" t="s">
        <v>23</v>
      </c>
      <c r="M452" s="3" t="s">
        <v>24</v>
      </c>
      <c r="N452" s="3" t="s">
        <v>25</v>
      </c>
      <c r="O452" t="str">
        <f>"2024-11-01"</f>
        <v>2024-11-01</v>
      </c>
      <c r="P452" t="str">
        <f>"2025-10-31"</f>
        <v>2025-10-31</v>
      </c>
    </row>
    <row r="453" spans="1:16" x14ac:dyDescent="0.2">
      <c r="A453" t="str" cm="1">
        <f t="array" ref="A453">_xlfn.LET(
    _xlpm.txt, B453,
    _xlpm.chars, MID(_xlpm.txt, _xlfn.SEQUENCE(LEN(_xlpm.txt)), 1),
    _xlpm.filtered, _xlfn._xlws.FILTER(_xlpm.chars, NOT(ISNUMBER(SEARCH(_xlpm.chars, "ABCDEFGHIJKLMNOPQRSTUVWXYZabcdefghijklmnopqrstuvwxyz")))),
    _xlfn.TEXTJOIN("",, _xlpm.filtered)
)</f>
        <v>000704</v>
      </c>
      <c r="B453" s="3" t="s">
        <v>1872</v>
      </c>
      <c r="C453" s="3" t="s">
        <v>1873</v>
      </c>
      <c r="D453" s="4">
        <v>120</v>
      </c>
      <c r="E453" s="3" t="s">
        <v>1874</v>
      </c>
      <c r="F453" s="3" t="s">
        <v>1875</v>
      </c>
      <c r="G453" s="3" t="s">
        <v>1876</v>
      </c>
      <c r="H453" s="3" t="s">
        <v>1612</v>
      </c>
      <c r="I453" s="3" t="s">
        <v>33</v>
      </c>
      <c r="J453" s="3" t="s">
        <v>36</v>
      </c>
      <c r="K453" s="3" t="s">
        <v>22</v>
      </c>
      <c r="L453" s="3" t="s">
        <v>174</v>
      </c>
      <c r="M453" s="3" t="s">
        <v>62</v>
      </c>
      <c r="N453" s="3" t="s">
        <v>273</v>
      </c>
      <c r="O453" t="str">
        <f>"2025-07-09"</f>
        <v>2025-07-09</v>
      </c>
      <c r="P453" t="str">
        <f>"2026-07-08"</f>
        <v>2026-07-08</v>
      </c>
    </row>
    <row r="454" spans="1:16" x14ac:dyDescent="0.2">
      <c r="A454" t="str" cm="1">
        <f t="array" ref="A454">_xlfn.LET(
    _xlpm.txt, B454,
    _xlpm.chars, MID(_xlpm.txt, _xlfn.SEQUENCE(LEN(_xlpm.txt)), 1),
    _xlpm.filtered, _xlfn._xlws.FILTER(_xlpm.chars, NOT(ISNUMBER(SEARCH(_xlpm.chars, "ABCDEFGHIJKLMNOPQRSTUVWXYZabcdefghijklmnopqrstuvwxyz")))),
    _xlfn.TEXTJOIN("",, _xlpm.filtered)
)</f>
        <v>000705</v>
      </c>
      <c r="B454" s="3" t="s">
        <v>1877</v>
      </c>
      <c r="C454" s="3" t="s">
        <v>1878</v>
      </c>
      <c r="D454" s="4">
        <v>200</v>
      </c>
      <c r="E454" s="3" t="s">
        <v>1879</v>
      </c>
      <c r="F454" s="3" t="s">
        <v>33</v>
      </c>
      <c r="G454" s="3" t="s">
        <v>1880</v>
      </c>
      <c r="H454" s="3" t="s">
        <v>202</v>
      </c>
      <c r="I454" s="3" t="s">
        <v>33</v>
      </c>
      <c r="J454" s="3" t="s">
        <v>36</v>
      </c>
      <c r="K454" s="3" t="s">
        <v>37</v>
      </c>
      <c r="L454" s="3" t="s">
        <v>86</v>
      </c>
      <c r="M454" s="3" t="s">
        <v>48</v>
      </c>
      <c r="N454" s="3" t="s">
        <v>25</v>
      </c>
      <c r="O454" t="str">
        <f>"2025-07-13"</f>
        <v>2025-07-13</v>
      </c>
      <c r="P454" t="str">
        <f>"2026-07-12"</f>
        <v>2026-07-12</v>
      </c>
    </row>
    <row r="455" spans="1:16" x14ac:dyDescent="0.2">
      <c r="A455" t="str" cm="1">
        <f t="array" ref="A455">_xlfn.LET(
    _xlpm.txt, B455,
    _xlpm.chars, MID(_xlpm.txt, _xlfn.SEQUENCE(LEN(_xlpm.txt)), 1),
    _xlpm.filtered, _xlfn._xlws.FILTER(_xlpm.chars, NOT(ISNUMBER(SEARCH(_xlpm.chars, "ABCDEFGHIJKLMNOPQRSTUVWXYZabcdefghijklmnopqrstuvwxyz")))),
    _xlfn.TEXTJOIN("",, _xlpm.filtered)
)</f>
        <v>000706</v>
      </c>
      <c r="B455" s="3" t="s">
        <v>1881</v>
      </c>
      <c r="C455" s="3" t="s">
        <v>1882</v>
      </c>
      <c r="D455" s="4">
        <v>180</v>
      </c>
      <c r="E455" s="3" t="s">
        <v>65</v>
      </c>
      <c r="F455" s="3" t="s">
        <v>33</v>
      </c>
      <c r="G455" s="3" t="s">
        <v>1883</v>
      </c>
      <c r="H455" s="3" t="s">
        <v>842</v>
      </c>
      <c r="I455" s="3" t="s">
        <v>20</v>
      </c>
      <c r="J455" s="3" t="s">
        <v>85</v>
      </c>
      <c r="K455" s="3" t="s">
        <v>271</v>
      </c>
      <c r="L455" s="3" t="s">
        <v>271</v>
      </c>
      <c r="M455" s="3" t="s">
        <v>1884</v>
      </c>
      <c r="N455" s="3" t="s">
        <v>25</v>
      </c>
      <c r="O455" t="str">
        <f>"2025-07-13"</f>
        <v>2025-07-13</v>
      </c>
      <c r="P455" t="str">
        <f>"2026-07-12"</f>
        <v>2026-07-12</v>
      </c>
    </row>
    <row r="456" spans="1:16" x14ac:dyDescent="0.2">
      <c r="A456" t="str" cm="1">
        <f t="array" ref="A456">_xlfn.LET(
    _xlpm.txt, B456,
    _xlpm.chars, MID(_xlpm.txt, _xlfn.SEQUENCE(LEN(_xlpm.txt)), 1),
    _xlpm.filtered, _xlfn._xlws.FILTER(_xlpm.chars, NOT(ISNUMBER(SEARCH(_xlpm.chars, "ABCDEFGHIJKLMNOPQRSTUVWXYZabcdefghijklmnopqrstuvwxyz")))),
    _xlfn.TEXTJOIN("",, _xlpm.filtered)
)</f>
        <v>000707</v>
      </c>
      <c r="B456" s="3" t="s">
        <v>1885</v>
      </c>
      <c r="C456" s="3" t="s">
        <v>1886</v>
      </c>
      <c r="D456" s="4">
        <v>150</v>
      </c>
      <c r="E456" s="3" t="s">
        <v>1887</v>
      </c>
      <c r="F456" s="3" t="s">
        <v>33</v>
      </c>
      <c r="G456" s="3" t="s">
        <v>1888</v>
      </c>
      <c r="H456" s="3" t="s">
        <v>941</v>
      </c>
      <c r="I456" s="3" t="s">
        <v>33</v>
      </c>
      <c r="J456" s="3" t="s">
        <v>85</v>
      </c>
      <c r="K456" s="3" t="s">
        <v>1264</v>
      </c>
      <c r="L456" s="3" t="s">
        <v>38</v>
      </c>
      <c r="M456" s="3" t="s">
        <v>1206</v>
      </c>
      <c r="N456" s="3" t="s">
        <v>25</v>
      </c>
      <c r="O456" t="str">
        <f>"2024-09-01"</f>
        <v>2024-09-01</v>
      </c>
      <c r="P456" t="str">
        <f>"2025-08-31"</f>
        <v>2025-08-31</v>
      </c>
    </row>
    <row r="457" spans="1:16" x14ac:dyDescent="0.2">
      <c r="A457" t="str" cm="1">
        <f t="array" ref="A457">_xlfn.LET(
    _xlpm.txt, B457,
    _xlpm.chars, MID(_xlpm.txt, _xlfn.SEQUENCE(LEN(_xlpm.txt)), 1),
    _xlpm.filtered, _xlfn._xlws.FILTER(_xlpm.chars, NOT(ISNUMBER(SEARCH(_xlpm.chars, "ABCDEFGHIJKLMNOPQRSTUVWXYZabcdefghijklmnopqrstuvwxyz")))),
    _xlfn.TEXTJOIN("",, _xlpm.filtered)
)</f>
        <v>000708</v>
      </c>
      <c r="B457" s="3" t="s">
        <v>1889</v>
      </c>
      <c r="C457" s="3" t="s">
        <v>1890</v>
      </c>
      <c r="D457" s="4">
        <v>100</v>
      </c>
      <c r="E457" s="3" t="s">
        <v>1891</v>
      </c>
      <c r="F457" s="3" t="s">
        <v>33</v>
      </c>
      <c r="G457" s="3" t="s">
        <v>1892</v>
      </c>
      <c r="H457" s="3" t="s">
        <v>928</v>
      </c>
      <c r="I457" s="3" t="s">
        <v>20</v>
      </c>
      <c r="J457" s="3" t="s">
        <v>85</v>
      </c>
      <c r="K457" s="3" t="s">
        <v>1893</v>
      </c>
      <c r="L457" s="3" t="s">
        <v>38</v>
      </c>
      <c r="M457" s="3" t="s">
        <v>164</v>
      </c>
      <c r="N457" s="3" t="s">
        <v>273</v>
      </c>
      <c r="O457" t="str">
        <f>"2025-09-01"</f>
        <v>2025-09-01</v>
      </c>
      <c r="P457" t="str">
        <f>"2026-08-31"</f>
        <v>2026-08-31</v>
      </c>
    </row>
    <row r="458" spans="1:16" x14ac:dyDescent="0.2">
      <c r="A458" t="str" cm="1">
        <f t="array" ref="A458">_xlfn.LET(
    _xlpm.txt, B458,
    _xlpm.chars, MID(_xlpm.txt, _xlfn.SEQUENCE(LEN(_xlpm.txt)), 1),
    _xlpm.filtered, _xlfn._xlws.FILTER(_xlpm.chars, NOT(ISNUMBER(SEARCH(_xlpm.chars, "ABCDEFGHIJKLMNOPQRSTUVWXYZabcdefghijklmnopqrstuvwxyz")))),
    _xlfn.TEXTJOIN("",, _xlpm.filtered)
)</f>
        <v>000709</v>
      </c>
      <c r="B458" s="3" t="s">
        <v>1894</v>
      </c>
      <c r="C458" s="3" t="s">
        <v>1693</v>
      </c>
      <c r="D458" s="4">
        <v>180</v>
      </c>
      <c r="E458" s="3" t="s">
        <v>33</v>
      </c>
      <c r="F458" s="3" t="s">
        <v>1695</v>
      </c>
      <c r="G458" s="3" t="s">
        <v>1895</v>
      </c>
      <c r="H458" s="3" t="s">
        <v>132</v>
      </c>
      <c r="I458" s="3" t="s">
        <v>20</v>
      </c>
      <c r="J458" s="3" t="s">
        <v>60</v>
      </c>
      <c r="K458" s="3" t="s">
        <v>37</v>
      </c>
      <c r="L458" s="3" t="s">
        <v>38</v>
      </c>
      <c r="M458" s="3" t="s">
        <v>62</v>
      </c>
      <c r="N458" s="3" t="s">
        <v>25</v>
      </c>
      <c r="O458" t="str">
        <f>"2025-06-01"</f>
        <v>2025-06-01</v>
      </c>
      <c r="P458" t="str">
        <f>"2026-05-31"</f>
        <v>2026-05-31</v>
      </c>
    </row>
    <row r="459" spans="1:16" x14ac:dyDescent="0.2">
      <c r="A459" t="str" cm="1">
        <f t="array" ref="A459">_xlfn.LET(
    _xlpm.txt, B459,
    _xlpm.chars, MID(_xlpm.txt, _xlfn.SEQUENCE(LEN(_xlpm.txt)), 1),
    _xlpm.filtered, _xlfn._xlws.FILTER(_xlpm.chars, NOT(ISNUMBER(SEARCH(_xlpm.chars, "ABCDEFGHIJKLMNOPQRSTUVWXYZabcdefghijklmnopqrstuvwxyz")))),
    _xlfn.TEXTJOIN("",, _xlpm.filtered)
)</f>
        <v>000710</v>
      </c>
      <c r="B459" s="3" t="s">
        <v>1896</v>
      </c>
      <c r="C459" s="3" t="s">
        <v>1453</v>
      </c>
      <c r="D459" s="4">
        <v>800</v>
      </c>
      <c r="E459" s="3" t="s">
        <v>1053</v>
      </c>
      <c r="F459" s="3" t="s">
        <v>33</v>
      </c>
      <c r="G459" s="3" t="s">
        <v>1897</v>
      </c>
      <c r="H459" s="3" t="s">
        <v>84</v>
      </c>
      <c r="I459" s="3" t="s">
        <v>33</v>
      </c>
      <c r="J459" s="3" t="s">
        <v>33</v>
      </c>
      <c r="K459" s="3" t="s">
        <v>33</v>
      </c>
      <c r="L459" s="3" t="s">
        <v>1898</v>
      </c>
      <c r="M459" s="3" t="s">
        <v>33</v>
      </c>
      <c r="N459" s="3" t="s">
        <v>273</v>
      </c>
      <c r="O459" t="str">
        <f>"2024-07-20"</f>
        <v>2024-07-20</v>
      </c>
      <c r="P459" t="str">
        <f>"2025-07-19"</f>
        <v>2025-07-19</v>
      </c>
    </row>
    <row r="460" spans="1:16" x14ac:dyDescent="0.2">
      <c r="A460" t="str" cm="1">
        <f t="array" ref="A460">_xlfn.LET(
    _xlpm.txt, B460,
    _xlpm.chars, MID(_xlpm.txt, _xlfn.SEQUENCE(LEN(_xlpm.txt)), 1),
    _xlpm.filtered, _xlfn._xlws.FILTER(_xlpm.chars, NOT(ISNUMBER(SEARCH(_xlpm.chars, "ABCDEFGHIJKLMNOPQRSTUVWXYZabcdefghijklmnopqrstuvwxyz")))),
    _xlfn.TEXTJOIN("",, _xlpm.filtered)
)</f>
        <v>000711</v>
      </c>
      <c r="B460" s="3" t="s">
        <v>1899</v>
      </c>
      <c r="C460" s="3" t="s">
        <v>766</v>
      </c>
      <c r="D460" s="4">
        <v>360</v>
      </c>
      <c r="E460" s="3" t="s">
        <v>767</v>
      </c>
      <c r="F460" s="3" t="s">
        <v>1900</v>
      </c>
      <c r="G460" s="3" t="s">
        <v>1901</v>
      </c>
      <c r="H460" s="3" t="s">
        <v>19</v>
      </c>
      <c r="I460" s="3" t="s">
        <v>20</v>
      </c>
      <c r="J460" s="3" t="s">
        <v>33</v>
      </c>
      <c r="K460" s="3" t="s">
        <v>37</v>
      </c>
      <c r="L460" s="3" t="s">
        <v>38</v>
      </c>
      <c r="M460" s="3" t="s">
        <v>87</v>
      </c>
      <c r="N460" s="3" t="s">
        <v>25</v>
      </c>
      <c r="O460" t="str">
        <f>"2025-01-01"</f>
        <v>2025-01-01</v>
      </c>
      <c r="P460" t="str">
        <f>"2025-12-31"</f>
        <v>2025-12-31</v>
      </c>
    </row>
    <row r="461" spans="1:16" x14ac:dyDescent="0.2">
      <c r="A461" t="str" cm="1">
        <f t="array" ref="A461">_xlfn.LET(
    _xlpm.txt, B461,
    _xlpm.chars, MID(_xlpm.txt, _xlfn.SEQUENCE(LEN(_xlpm.txt)), 1),
    _xlpm.filtered, _xlfn._xlws.FILTER(_xlpm.chars, NOT(ISNUMBER(SEARCH(_xlpm.chars, "ABCDEFGHIJKLMNOPQRSTUVWXYZabcdefghijklmnopqrstuvwxyz")))),
    _xlfn.TEXTJOIN("",, _xlpm.filtered)
)</f>
        <v>000712</v>
      </c>
      <c r="B461" s="3" t="s">
        <v>1902</v>
      </c>
      <c r="C461" s="3" t="s">
        <v>1903</v>
      </c>
      <c r="D461" s="4">
        <v>120</v>
      </c>
      <c r="E461" s="3" t="s">
        <v>1904</v>
      </c>
      <c r="F461" s="3" t="s">
        <v>1905</v>
      </c>
      <c r="G461" s="3" t="s">
        <v>1906</v>
      </c>
      <c r="H461" s="3" t="s">
        <v>941</v>
      </c>
      <c r="I461" s="3" t="s">
        <v>33</v>
      </c>
      <c r="J461" s="3" t="s">
        <v>67</v>
      </c>
      <c r="K461" s="3" t="s">
        <v>37</v>
      </c>
      <c r="L461" s="3" t="s">
        <v>518</v>
      </c>
      <c r="M461" s="3" t="s">
        <v>401</v>
      </c>
      <c r="N461" s="3" t="s">
        <v>25</v>
      </c>
      <c r="O461" t="str">
        <f>"2024-11-01"</f>
        <v>2024-11-01</v>
      </c>
      <c r="P461" t="str">
        <f>"2025-10-31"</f>
        <v>2025-10-31</v>
      </c>
    </row>
    <row r="462" spans="1:16" x14ac:dyDescent="0.2">
      <c r="A462" t="str" cm="1">
        <f t="array" ref="A462">_xlfn.LET(
    _xlpm.txt, B462,
    _xlpm.chars, MID(_xlpm.txt, _xlfn.SEQUENCE(LEN(_xlpm.txt)), 1),
    _xlpm.filtered, _xlfn._xlws.FILTER(_xlpm.chars, NOT(ISNUMBER(SEARCH(_xlpm.chars, "ABCDEFGHIJKLMNOPQRSTUVWXYZabcdefghijklmnopqrstuvwxyz")))),
    _xlfn.TEXTJOIN("",, _xlpm.filtered)
)</f>
        <v>000713</v>
      </c>
      <c r="B462" s="3" t="s">
        <v>1907</v>
      </c>
      <c r="C462" s="3" t="s">
        <v>1908</v>
      </c>
      <c r="D462" s="4">
        <v>180</v>
      </c>
      <c r="E462" s="3" t="s">
        <v>1909</v>
      </c>
      <c r="F462" s="3" t="s">
        <v>1910</v>
      </c>
      <c r="G462" s="3" t="s">
        <v>1911</v>
      </c>
      <c r="H462" s="3" t="s">
        <v>1520</v>
      </c>
      <c r="I462" s="3" t="s">
        <v>33</v>
      </c>
      <c r="J462" s="3" t="s">
        <v>67</v>
      </c>
      <c r="K462" s="3" t="s">
        <v>1264</v>
      </c>
      <c r="L462" s="3" t="s">
        <v>38</v>
      </c>
      <c r="M462" s="3" t="s">
        <v>87</v>
      </c>
      <c r="N462" s="3" t="s">
        <v>25</v>
      </c>
      <c r="O462" t="str">
        <f>"2025-07-15"</f>
        <v>2025-07-15</v>
      </c>
      <c r="P462" t="str">
        <f>"2026-07-14"</f>
        <v>2026-07-14</v>
      </c>
    </row>
    <row r="463" spans="1:16" x14ac:dyDescent="0.2">
      <c r="A463" t="str" cm="1">
        <f t="array" ref="A463">_xlfn.LET(
    _xlpm.txt, B463,
    _xlpm.chars, MID(_xlpm.txt, _xlfn.SEQUENCE(LEN(_xlpm.txt)), 1),
    _xlpm.filtered, _xlfn._xlws.FILTER(_xlpm.chars, NOT(ISNUMBER(SEARCH(_xlpm.chars, "ABCDEFGHIJKLMNOPQRSTUVWXYZabcdefghijklmnopqrstuvwxyz")))),
    _xlfn.TEXTJOIN("",, _xlpm.filtered)
)</f>
        <v>000714</v>
      </c>
      <c r="B463" s="3" t="s">
        <v>1912</v>
      </c>
      <c r="C463" s="3" t="s">
        <v>1451</v>
      </c>
      <c r="D463" s="4">
        <v>170</v>
      </c>
      <c r="E463" s="3" t="s">
        <v>491</v>
      </c>
      <c r="F463" s="3" t="s">
        <v>33</v>
      </c>
      <c r="G463" s="3" t="s">
        <v>1913</v>
      </c>
      <c r="H463" s="3" t="s">
        <v>202</v>
      </c>
      <c r="I463" s="3" t="s">
        <v>33</v>
      </c>
      <c r="J463" s="3" t="s">
        <v>67</v>
      </c>
      <c r="K463" s="3" t="s">
        <v>1914</v>
      </c>
      <c r="L463" s="3" t="s">
        <v>174</v>
      </c>
      <c r="M463" s="3" t="s">
        <v>87</v>
      </c>
      <c r="N463" s="3" t="s">
        <v>25</v>
      </c>
      <c r="O463" t="str">
        <f>"2025-08-15"</f>
        <v>2025-08-15</v>
      </c>
      <c r="P463" t="str">
        <f>"2026-08-14"</f>
        <v>2026-08-14</v>
      </c>
    </row>
    <row r="464" spans="1:16" x14ac:dyDescent="0.2">
      <c r="A464" t="str" cm="1">
        <f t="array" ref="A464">_xlfn.LET(
    _xlpm.txt, B464,
    _xlpm.chars, MID(_xlpm.txt, _xlfn.SEQUENCE(LEN(_xlpm.txt)), 1),
    _xlpm.filtered, _xlfn._xlws.FILTER(_xlpm.chars, NOT(ISNUMBER(SEARCH(_xlpm.chars, "ABCDEFGHIJKLMNOPQRSTUVWXYZabcdefghijklmnopqrstuvwxyz")))),
    _xlfn.TEXTJOIN("",, _xlpm.filtered)
)</f>
        <v>000715</v>
      </c>
      <c r="B464" s="3" t="s">
        <v>1915</v>
      </c>
      <c r="C464" s="3" t="s">
        <v>1916</v>
      </c>
      <c r="D464" s="4">
        <v>150</v>
      </c>
      <c r="E464" s="3" t="s">
        <v>1917</v>
      </c>
      <c r="F464" s="3" t="s">
        <v>33</v>
      </c>
      <c r="G464" s="3" t="s">
        <v>1918</v>
      </c>
      <c r="H464" s="3" t="s">
        <v>1919</v>
      </c>
      <c r="I464" s="3" t="s">
        <v>33</v>
      </c>
      <c r="J464" s="3" t="s">
        <v>36</v>
      </c>
      <c r="K464" s="3" t="s">
        <v>33</v>
      </c>
      <c r="L464" s="3" t="s">
        <v>38</v>
      </c>
      <c r="M464" s="3" t="s">
        <v>33</v>
      </c>
      <c r="N464" s="3" t="s">
        <v>25</v>
      </c>
      <c r="O464" t="str">
        <f>"2024-08-21"</f>
        <v>2024-08-21</v>
      </c>
      <c r="P464" t="str">
        <f>"2025-08-20"</f>
        <v>2025-08-20</v>
      </c>
    </row>
    <row r="465" spans="1:16" x14ac:dyDescent="0.2">
      <c r="A465" t="str" cm="1">
        <f t="array" ref="A465">_xlfn.LET(
    _xlpm.txt, B465,
    _xlpm.chars, MID(_xlpm.txt, _xlfn.SEQUENCE(LEN(_xlpm.txt)), 1),
    _xlpm.filtered, _xlfn._xlws.FILTER(_xlpm.chars, NOT(ISNUMBER(SEARCH(_xlpm.chars, "ABCDEFGHIJKLMNOPQRSTUVWXYZabcdefghijklmnopqrstuvwxyz")))),
    _xlfn.TEXTJOIN("",, _xlpm.filtered)
)</f>
        <v>000716</v>
      </c>
      <c r="B465" s="3" t="s">
        <v>1920</v>
      </c>
      <c r="C465" s="3" t="s">
        <v>1921</v>
      </c>
      <c r="D465" s="4">
        <v>120</v>
      </c>
      <c r="E465" s="3" t="s">
        <v>1922</v>
      </c>
      <c r="F465" s="3" t="s">
        <v>1923</v>
      </c>
      <c r="G465" s="3" t="s">
        <v>1924</v>
      </c>
      <c r="H465" s="3" t="s">
        <v>125</v>
      </c>
      <c r="I465" s="3" t="s">
        <v>33</v>
      </c>
      <c r="J465" s="3" t="s">
        <v>36</v>
      </c>
      <c r="K465" s="3" t="s">
        <v>1925</v>
      </c>
      <c r="L465" s="3" t="s">
        <v>23</v>
      </c>
      <c r="M465" s="3" t="s">
        <v>87</v>
      </c>
      <c r="N465" s="3" t="s">
        <v>273</v>
      </c>
      <c r="O465" t="str">
        <f>"2025-08-22"</f>
        <v>2025-08-22</v>
      </c>
      <c r="P465" t="str">
        <f>"2026-08-21"</f>
        <v>2026-08-21</v>
      </c>
    </row>
    <row r="466" spans="1:16" x14ac:dyDescent="0.2">
      <c r="A466" t="str" cm="1">
        <f t="array" ref="A466">_xlfn.LET(
    _xlpm.txt, B466,
    _xlpm.chars, MID(_xlpm.txt, _xlfn.SEQUENCE(LEN(_xlpm.txt)), 1),
    _xlpm.filtered, _xlfn._xlws.FILTER(_xlpm.chars, NOT(ISNUMBER(SEARCH(_xlpm.chars, "ABCDEFGHIJKLMNOPQRSTUVWXYZabcdefghijklmnopqrstuvwxyz")))),
    _xlfn.TEXTJOIN("",, _xlpm.filtered)
)</f>
        <v>000724</v>
      </c>
      <c r="B466" s="3" t="s">
        <v>1926</v>
      </c>
      <c r="C466" s="3" t="s">
        <v>1927</v>
      </c>
      <c r="D466" s="4">
        <v>120</v>
      </c>
      <c r="E466" s="3" t="s">
        <v>1928</v>
      </c>
      <c r="F466" s="3" t="s">
        <v>33</v>
      </c>
      <c r="G466" s="3" t="s">
        <v>1929</v>
      </c>
      <c r="H466" s="3" t="s">
        <v>981</v>
      </c>
      <c r="I466" s="3" t="s">
        <v>33</v>
      </c>
      <c r="J466" s="3" t="s">
        <v>511</v>
      </c>
      <c r="K466" s="3" t="s">
        <v>33</v>
      </c>
      <c r="L466" s="3" t="s">
        <v>445</v>
      </c>
      <c r="M466" s="3" t="s">
        <v>33</v>
      </c>
      <c r="N466" s="3" t="s">
        <v>25</v>
      </c>
      <c r="O466" t="str">
        <f>"2025-10-01"</f>
        <v>2025-10-01</v>
      </c>
      <c r="P466" t="str">
        <f>"2026-09-30"</f>
        <v>2026-09-30</v>
      </c>
    </row>
    <row r="467" spans="1:16" x14ac:dyDescent="0.2">
      <c r="A467" t="str" cm="1">
        <f t="array" ref="A467">_xlfn.LET(
    _xlpm.txt, B467,
    _xlpm.chars, MID(_xlpm.txt, _xlfn.SEQUENCE(LEN(_xlpm.txt)), 1),
    _xlpm.filtered, _xlfn._xlws.FILTER(_xlpm.chars, NOT(ISNUMBER(SEARCH(_xlpm.chars, "ABCDEFGHIJKLMNOPQRSTUVWXYZabcdefghijklmnopqrstuvwxyz")))),
    _xlfn.TEXTJOIN("",, _xlpm.filtered)
)</f>
        <v>000726</v>
      </c>
      <c r="B467" s="3" t="s">
        <v>1930</v>
      </c>
      <c r="C467" s="3" t="s">
        <v>1931</v>
      </c>
      <c r="D467" s="4">
        <v>120</v>
      </c>
      <c r="E467" s="3" t="s">
        <v>1932</v>
      </c>
      <c r="F467" s="3" t="s">
        <v>33</v>
      </c>
      <c r="G467" s="3" t="s">
        <v>1933</v>
      </c>
      <c r="H467" s="3" t="s">
        <v>1388</v>
      </c>
      <c r="I467" s="3" t="s">
        <v>33</v>
      </c>
      <c r="J467" s="3" t="s">
        <v>511</v>
      </c>
      <c r="K467" s="3" t="s">
        <v>33</v>
      </c>
      <c r="L467" s="3" t="s">
        <v>296</v>
      </c>
      <c r="M467" s="3" t="s">
        <v>33</v>
      </c>
      <c r="N467" s="3" t="s">
        <v>25</v>
      </c>
      <c r="O467" t="str">
        <f>"2025-09-10"</f>
        <v>2025-09-10</v>
      </c>
      <c r="P467" t="str">
        <f>"2026-09-09"</f>
        <v>2026-09-09</v>
      </c>
    </row>
    <row r="468" spans="1:16" x14ac:dyDescent="0.2">
      <c r="A468" t="str" cm="1">
        <f t="array" ref="A468">_xlfn.LET(
    _xlpm.txt, B468,
    _xlpm.chars, MID(_xlpm.txt, _xlfn.SEQUENCE(LEN(_xlpm.txt)), 1),
    _xlpm.filtered, _xlfn._xlws.FILTER(_xlpm.chars, NOT(ISNUMBER(SEARCH(_xlpm.chars, "ABCDEFGHIJKLMNOPQRSTUVWXYZabcdefghijklmnopqrstuvwxyz")))),
    _xlfn.TEXTJOIN("",, _xlpm.filtered)
)</f>
        <v>000727</v>
      </c>
      <c r="B468" s="3" t="s">
        <v>1934</v>
      </c>
      <c r="C468" s="3" t="s">
        <v>1927</v>
      </c>
      <c r="D468" s="4">
        <v>120</v>
      </c>
      <c r="E468" s="3" t="s">
        <v>1928</v>
      </c>
      <c r="F468" s="3" t="s">
        <v>33</v>
      </c>
      <c r="G468" s="3" t="s">
        <v>1935</v>
      </c>
      <c r="H468" s="3" t="s">
        <v>202</v>
      </c>
      <c r="I468" s="3" t="s">
        <v>33</v>
      </c>
      <c r="J468" s="3" t="s">
        <v>67</v>
      </c>
      <c r="K468" s="3" t="s">
        <v>37</v>
      </c>
      <c r="L468" s="3" t="s">
        <v>518</v>
      </c>
      <c r="M468" s="3" t="s">
        <v>518</v>
      </c>
      <c r="N468" s="3" t="s">
        <v>25</v>
      </c>
      <c r="O468" t="str">
        <f>"2025-10-03"</f>
        <v>2025-10-03</v>
      </c>
      <c r="P468" t="str">
        <f>"2026-10-02"</f>
        <v>2026-10-02</v>
      </c>
    </row>
    <row r="469" spans="1:16" x14ac:dyDescent="0.2">
      <c r="A469" t="str" cm="1">
        <f t="array" ref="A469">_xlfn.LET(
    _xlpm.txt, B469,
    _xlpm.chars, MID(_xlpm.txt, _xlfn.SEQUENCE(LEN(_xlpm.txt)), 1),
    _xlpm.filtered, _xlfn._xlws.FILTER(_xlpm.chars, NOT(ISNUMBER(SEARCH(_xlpm.chars, "ABCDEFGHIJKLMNOPQRSTUVWXYZabcdefghijklmnopqrstuvwxyz")))),
    _xlfn.TEXTJOIN("",, _xlpm.filtered)
)</f>
        <v>000728</v>
      </c>
      <c r="B469" s="3" t="s">
        <v>1936</v>
      </c>
      <c r="C469" s="3" t="s">
        <v>1722</v>
      </c>
      <c r="D469" s="4">
        <v>130</v>
      </c>
      <c r="E469" s="3" t="s">
        <v>188</v>
      </c>
      <c r="F469" s="3" t="s">
        <v>1937</v>
      </c>
      <c r="G469" s="3" t="s">
        <v>1938</v>
      </c>
      <c r="H469" s="3" t="s">
        <v>132</v>
      </c>
      <c r="I469" s="3" t="s">
        <v>20</v>
      </c>
      <c r="J469" s="3" t="s">
        <v>85</v>
      </c>
      <c r="K469" s="3" t="s">
        <v>37</v>
      </c>
      <c r="L469" s="3" t="s">
        <v>38</v>
      </c>
      <c r="M469" s="3" t="s">
        <v>48</v>
      </c>
      <c r="N469" s="3" t="s">
        <v>25</v>
      </c>
      <c r="O469" t="str">
        <f>"2024-12-01"</f>
        <v>2024-12-01</v>
      </c>
      <c r="P469" t="str">
        <f>"2025-11-30"</f>
        <v>2025-11-30</v>
      </c>
    </row>
    <row r="470" spans="1:16" x14ac:dyDescent="0.2">
      <c r="A470" t="str" cm="1">
        <f t="array" ref="A470">_xlfn.LET(
    _xlpm.txt, B470,
    _xlpm.chars, MID(_xlpm.txt, _xlfn.SEQUENCE(LEN(_xlpm.txt)), 1),
    _xlpm.filtered, _xlfn._xlws.FILTER(_xlpm.chars, NOT(ISNUMBER(SEARCH(_xlpm.chars, "ABCDEFGHIJKLMNOPQRSTUVWXYZabcdefghijklmnopqrstuvwxyz")))),
    _xlfn.TEXTJOIN("",, _xlpm.filtered)
)</f>
        <v>000729</v>
      </c>
      <c r="B470" s="3" t="s">
        <v>1939</v>
      </c>
      <c r="C470" s="3" t="s">
        <v>1940</v>
      </c>
      <c r="D470" s="4">
        <v>150</v>
      </c>
      <c r="E470" s="3" t="s">
        <v>1941</v>
      </c>
      <c r="F470" s="3" t="s">
        <v>33</v>
      </c>
      <c r="G470" s="3" t="s">
        <v>1942</v>
      </c>
      <c r="H470" s="3" t="s">
        <v>1503</v>
      </c>
      <c r="I470" s="3" t="s">
        <v>33</v>
      </c>
      <c r="J470" s="3" t="s">
        <v>511</v>
      </c>
      <c r="K470" s="3" t="s">
        <v>33</v>
      </c>
      <c r="L470" s="3" t="s">
        <v>38</v>
      </c>
      <c r="M470" s="3" t="s">
        <v>33</v>
      </c>
      <c r="N470" s="3" t="s">
        <v>25</v>
      </c>
      <c r="O470" t="str">
        <f>"2025-10-08"</f>
        <v>2025-10-08</v>
      </c>
      <c r="P470" t="str">
        <f>"2026-10-07"</f>
        <v>2026-10-07</v>
      </c>
    </row>
    <row r="471" spans="1:16" x14ac:dyDescent="0.2">
      <c r="A471" t="str" cm="1">
        <f t="array" ref="A471">_xlfn.LET(
    _xlpm.txt, B471,
    _xlpm.chars, MID(_xlpm.txt, _xlfn.SEQUENCE(LEN(_xlpm.txt)), 1),
    _xlpm.filtered, _xlfn._xlws.FILTER(_xlpm.chars, NOT(ISNUMBER(SEARCH(_xlpm.chars, "ABCDEFGHIJKLMNOPQRSTUVWXYZabcdefghijklmnopqrstuvwxyz")))),
    _xlfn.TEXTJOIN("",, _xlpm.filtered)
)</f>
        <v>000730</v>
      </c>
      <c r="B471" s="3" t="s">
        <v>1943</v>
      </c>
      <c r="C471" s="3" t="s">
        <v>1944</v>
      </c>
      <c r="D471" s="4">
        <v>100</v>
      </c>
      <c r="E471" s="3" t="s">
        <v>1945</v>
      </c>
      <c r="F471" s="3" t="s">
        <v>33</v>
      </c>
      <c r="G471" s="3" t="s">
        <v>1946</v>
      </c>
      <c r="H471" s="3" t="s">
        <v>936</v>
      </c>
      <c r="I471" s="3" t="s">
        <v>33</v>
      </c>
      <c r="J471" s="3" t="s">
        <v>1947</v>
      </c>
      <c r="K471" s="3" t="s">
        <v>33</v>
      </c>
      <c r="L471" s="3" t="s">
        <v>512</v>
      </c>
      <c r="M471" s="3" t="s">
        <v>33</v>
      </c>
      <c r="N471" s="3" t="s">
        <v>273</v>
      </c>
      <c r="O471" t="str">
        <f>"2024-10-11"</f>
        <v>2024-10-11</v>
      </c>
      <c r="P471" t="str">
        <f>"2025-10-10"</f>
        <v>2025-10-10</v>
      </c>
    </row>
    <row r="472" spans="1:16" x14ac:dyDescent="0.2">
      <c r="A472" t="str" cm="1">
        <f t="array" ref="A472">_xlfn.LET(
    _xlpm.txt, B472,
    _xlpm.chars, MID(_xlpm.txt, _xlfn.SEQUENCE(LEN(_xlpm.txt)), 1),
    _xlpm.filtered, _xlfn._xlws.FILTER(_xlpm.chars, NOT(ISNUMBER(SEARCH(_xlpm.chars, "ABCDEFGHIJKLMNOPQRSTUVWXYZabcdefghijklmnopqrstuvwxyz")))),
    _xlfn.TEXTJOIN("",, _xlpm.filtered)
)</f>
        <v>000731</v>
      </c>
      <c r="B472" s="3" t="s">
        <v>1948</v>
      </c>
      <c r="C472" s="3" t="s">
        <v>318</v>
      </c>
      <c r="D472" s="4">
        <v>120</v>
      </c>
      <c r="E472" s="3" t="s">
        <v>1949</v>
      </c>
      <c r="F472" s="3" t="s">
        <v>1950</v>
      </c>
      <c r="G472" s="3" t="s">
        <v>1951</v>
      </c>
      <c r="H472" s="3" t="s">
        <v>665</v>
      </c>
      <c r="I472" s="3" t="s">
        <v>33</v>
      </c>
      <c r="J472" s="3" t="s">
        <v>36</v>
      </c>
      <c r="K472" s="3" t="s">
        <v>37</v>
      </c>
      <c r="L472" s="3" t="s">
        <v>38</v>
      </c>
      <c r="M472" s="3" t="s">
        <v>144</v>
      </c>
      <c r="N472" s="3" t="s">
        <v>25</v>
      </c>
      <c r="O472" t="str">
        <f>"2024-10-19"</f>
        <v>2024-10-19</v>
      </c>
      <c r="P472" t="str">
        <f>"2025-10-18"</f>
        <v>2025-10-18</v>
      </c>
    </row>
    <row r="473" spans="1:16" x14ac:dyDescent="0.2">
      <c r="A473" t="str" cm="1">
        <f t="array" ref="A473">_xlfn.LET(
    _xlpm.txt, B473,
    _xlpm.chars, MID(_xlpm.txt, _xlfn.SEQUENCE(LEN(_xlpm.txt)), 1),
    _xlpm.filtered, _xlfn._xlws.FILTER(_xlpm.chars, NOT(ISNUMBER(SEARCH(_xlpm.chars, "ABCDEFGHIJKLMNOPQRSTUVWXYZabcdefghijklmnopqrstuvwxyz")))),
    _xlfn.TEXTJOIN("",, _xlpm.filtered)
)</f>
        <v>000732</v>
      </c>
      <c r="B473" s="3" t="s">
        <v>1952</v>
      </c>
      <c r="C473" s="3" t="s">
        <v>1953</v>
      </c>
      <c r="D473" s="4">
        <v>150</v>
      </c>
      <c r="E473" s="3" t="s">
        <v>1954</v>
      </c>
      <c r="F473" s="3" t="s">
        <v>1955</v>
      </c>
      <c r="G473" s="3" t="s">
        <v>1956</v>
      </c>
      <c r="H473" s="3" t="s">
        <v>59</v>
      </c>
      <c r="I473" s="3" t="s">
        <v>550</v>
      </c>
      <c r="J473" s="3" t="s">
        <v>60</v>
      </c>
      <c r="K473" s="3" t="s">
        <v>37</v>
      </c>
      <c r="L473" s="3" t="s">
        <v>38</v>
      </c>
      <c r="M473" s="3" t="s">
        <v>144</v>
      </c>
      <c r="N473" s="3" t="s">
        <v>25</v>
      </c>
      <c r="O473" t="str">
        <f>"2025-01-23"</f>
        <v>2025-01-23</v>
      </c>
      <c r="P473" t="str">
        <f>"2026-01-22"</f>
        <v>2026-01-22</v>
      </c>
    </row>
    <row r="474" spans="1:16" x14ac:dyDescent="0.2">
      <c r="A474" t="str" cm="1">
        <f t="array" ref="A474">_xlfn.LET(
    _xlpm.txt, B474,
    _xlpm.chars, MID(_xlpm.txt, _xlfn.SEQUENCE(LEN(_xlpm.txt)), 1),
    _xlpm.filtered, _xlfn._xlws.FILTER(_xlpm.chars, NOT(ISNUMBER(SEARCH(_xlpm.chars, "ABCDEFGHIJKLMNOPQRSTUVWXYZabcdefghijklmnopqrstuvwxyz")))),
    _xlfn.TEXTJOIN("",, _xlpm.filtered)
)</f>
        <v>000733</v>
      </c>
      <c r="B474" s="3" t="s">
        <v>1957</v>
      </c>
      <c r="C474" s="3" t="s">
        <v>1958</v>
      </c>
      <c r="D474" s="4">
        <v>960</v>
      </c>
      <c r="E474" s="3" t="s">
        <v>1219</v>
      </c>
      <c r="F474" s="3" t="s">
        <v>1959</v>
      </c>
      <c r="G474" s="3" t="s">
        <v>1960</v>
      </c>
      <c r="H474" s="3" t="s">
        <v>308</v>
      </c>
      <c r="I474" s="3" t="s">
        <v>20</v>
      </c>
      <c r="J474" s="3" t="s">
        <v>229</v>
      </c>
      <c r="K474" s="3" t="s">
        <v>1546</v>
      </c>
      <c r="L474" s="3" t="s">
        <v>1546</v>
      </c>
      <c r="M474" s="3" t="s">
        <v>1546</v>
      </c>
      <c r="N474" s="3" t="s">
        <v>25</v>
      </c>
      <c r="O474" t="str">
        <f>"2025-01-01"</f>
        <v>2025-01-01</v>
      </c>
      <c r="P474" t="str">
        <f>"2026-12-31"</f>
        <v>2026-12-31</v>
      </c>
    </row>
    <row r="475" spans="1:16" x14ac:dyDescent="0.2">
      <c r="A475" t="str" cm="1">
        <f t="array" ref="A475">_xlfn.LET(
    _xlpm.txt, B475,
    _xlpm.chars, MID(_xlpm.txt, _xlfn.SEQUENCE(LEN(_xlpm.txt)), 1),
    _xlpm.filtered, _xlfn._xlws.FILTER(_xlpm.chars, NOT(ISNUMBER(SEARCH(_xlpm.chars, "ABCDEFGHIJKLMNOPQRSTUVWXYZabcdefghijklmnopqrstuvwxyz")))),
    _xlfn.TEXTJOIN("",, _xlpm.filtered)
)</f>
        <v>000735</v>
      </c>
      <c r="B475" s="3" t="s">
        <v>1961</v>
      </c>
      <c r="C475" s="3" t="s">
        <v>1258</v>
      </c>
      <c r="D475" s="4">
        <v>360</v>
      </c>
      <c r="E475" s="3" t="s">
        <v>1307</v>
      </c>
      <c r="F475" s="3" t="s">
        <v>1962</v>
      </c>
      <c r="G475" s="3" t="s">
        <v>1963</v>
      </c>
      <c r="H475" s="3" t="s">
        <v>132</v>
      </c>
      <c r="I475" s="3" t="s">
        <v>20</v>
      </c>
      <c r="J475" s="3" t="s">
        <v>119</v>
      </c>
      <c r="K475" s="3" t="s">
        <v>962</v>
      </c>
      <c r="L475" s="3" t="s">
        <v>913</v>
      </c>
      <c r="M475" s="3" t="s">
        <v>962</v>
      </c>
      <c r="N475" s="3" t="s">
        <v>25</v>
      </c>
      <c r="O475" t="str">
        <f>"2024-11-01"</f>
        <v>2024-11-01</v>
      </c>
      <c r="P475" t="str">
        <f>"2025-10-31"</f>
        <v>2025-10-31</v>
      </c>
    </row>
    <row r="476" spans="1:16" x14ac:dyDescent="0.2">
      <c r="A476" t="str" cm="1">
        <f t="array" ref="A476">_xlfn.LET(
    _xlpm.txt, B476,
    _xlpm.chars, MID(_xlpm.txt, _xlfn.SEQUENCE(LEN(_xlpm.txt)), 1),
    _xlpm.filtered, _xlfn._xlws.FILTER(_xlpm.chars, NOT(ISNUMBER(SEARCH(_xlpm.chars, "ABCDEFGHIJKLMNOPQRSTUVWXYZabcdefghijklmnopqrstuvwxyz")))),
    _xlfn.TEXTJOIN("",, _xlpm.filtered)
)</f>
        <v>000737</v>
      </c>
      <c r="B476" s="3" t="s">
        <v>1964</v>
      </c>
      <c r="C476" s="3" t="s">
        <v>1965</v>
      </c>
      <c r="D476" s="4">
        <v>1000</v>
      </c>
      <c r="E476" s="3" t="s">
        <v>1966</v>
      </c>
      <c r="F476" s="3" t="s">
        <v>33</v>
      </c>
      <c r="G476" s="3" t="s">
        <v>1967</v>
      </c>
      <c r="H476" s="3" t="s">
        <v>270</v>
      </c>
      <c r="I476" s="3" t="s">
        <v>33</v>
      </c>
      <c r="J476" s="3" t="s">
        <v>36</v>
      </c>
      <c r="K476" s="3" t="s">
        <v>296</v>
      </c>
      <c r="L476" s="3" t="s">
        <v>296</v>
      </c>
      <c r="M476" s="3" t="s">
        <v>296</v>
      </c>
      <c r="N476" s="3" t="s">
        <v>25</v>
      </c>
      <c r="O476" t="str">
        <f>"2025-01-01"</f>
        <v>2025-01-01</v>
      </c>
      <c r="P476" t="str">
        <f>"2026-12-31"</f>
        <v>2026-12-31</v>
      </c>
    </row>
    <row r="477" spans="1:16" x14ac:dyDescent="0.2">
      <c r="A477" t="str" cm="1">
        <f t="array" ref="A477">_xlfn.LET(
    _xlpm.txt, B477,
    _xlpm.chars, MID(_xlpm.txt, _xlfn.SEQUENCE(LEN(_xlpm.txt)), 1),
    _xlpm.filtered, _xlfn._xlws.FILTER(_xlpm.chars, NOT(ISNUMBER(SEARCH(_xlpm.chars, "ABCDEFGHIJKLMNOPQRSTUVWXYZabcdefghijklmnopqrstuvwxyz")))),
    _xlfn.TEXTJOIN("",, _xlpm.filtered)
)</f>
        <v>000738</v>
      </c>
      <c r="B477" s="3" t="s">
        <v>1968</v>
      </c>
      <c r="C477" s="3" t="s">
        <v>1969</v>
      </c>
      <c r="D477" s="4">
        <v>100</v>
      </c>
      <c r="E477" s="3" t="s">
        <v>1970</v>
      </c>
      <c r="F477" s="3" t="s">
        <v>33</v>
      </c>
      <c r="G477" s="3" t="s">
        <v>1971</v>
      </c>
      <c r="H477" s="3" t="s">
        <v>941</v>
      </c>
      <c r="I477" s="3" t="s">
        <v>33</v>
      </c>
      <c r="J477" s="3" t="s">
        <v>36</v>
      </c>
      <c r="K477" s="3" t="s">
        <v>46</v>
      </c>
      <c r="L477" s="3" t="s">
        <v>38</v>
      </c>
      <c r="M477" s="3" t="s">
        <v>1972</v>
      </c>
      <c r="N477" s="3" t="s">
        <v>273</v>
      </c>
      <c r="O477" t="str">
        <f>"2024-11-13"</f>
        <v>2024-11-13</v>
      </c>
      <c r="P477" t="str">
        <f>"2025-11-12"</f>
        <v>2025-11-12</v>
      </c>
    </row>
    <row r="478" spans="1:16" x14ac:dyDescent="0.2">
      <c r="A478" t="str" cm="1">
        <f t="array" ref="A478">_xlfn.LET(
    _xlpm.txt, B478,
    _xlpm.chars, MID(_xlpm.txt, _xlfn.SEQUENCE(LEN(_xlpm.txt)), 1),
    _xlpm.filtered, _xlfn._xlws.FILTER(_xlpm.chars, NOT(ISNUMBER(SEARCH(_xlpm.chars, "ABCDEFGHIJKLMNOPQRSTUVWXYZabcdefghijklmnopqrstuvwxyz")))),
    _xlfn.TEXTJOIN("",, _xlpm.filtered)
)</f>
        <v>000739</v>
      </c>
      <c r="B478" s="3" t="s">
        <v>1973</v>
      </c>
      <c r="C478" s="3" t="s">
        <v>1974</v>
      </c>
      <c r="D478" s="4">
        <v>120</v>
      </c>
      <c r="E478" s="3" t="s">
        <v>1975</v>
      </c>
      <c r="F478" s="3" t="s">
        <v>33</v>
      </c>
      <c r="G478" s="3" t="s">
        <v>1976</v>
      </c>
      <c r="H478" s="3" t="s">
        <v>1977</v>
      </c>
      <c r="I478" s="3" t="s">
        <v>20</v>
      </c>
      <c r="J478" s="3" t="s">
        <v>67</v>
      </c>
      <c r="K478" s="3" t="s">
        <v>37</v>
      </c>
      <c r="L478" s="3" t="s">
        <v>38</v>
      </c>
      <c r="M478" s="3" t="s">
        <v>24</v>
      </c>
      <c r="N478" s="3" t="s">
        <v>273</v>
      </c>
      <c r="O478" t="str">
        <f>"2024-12-01"</f>
        <v>2024-12-01</v>
      </c>
      <c r="P478" t="str">
        <f>"2025-11-30"</f>
        <v>2025-11-30</v>
      </c>
    </row>
    <row r="479" spans="1:16" x14ac:dyDescent="0.2">
      <c r="A479" t="str" cm="1">
        <f t="array" ref="A479">_xlfn.LET(
    _xlpm.txt, B479,
    _xlpm.chars, MID(_xlpm.txt, _xlfn.SEQUENCE(LEN(_xlpm.txt)), 1),
    _xlpm.filtered, _xlfn._xlws.FILTER(_xlpm.chars, NOT(ISNUMBER(SEARCH(_xlpm.chars, "ABCDEFGHIJKLMNOPQRSTUVWXYZabcdefghijklmnopqrstuvwxyz")))),
    _xlfn.TEXTJOIN("",, _xlpm.filtered)
)</f>
        <v>000740</v>
      </c>
      <c r="B479" s="3" t="s">
        <v>1978</v>
      </c>
      <c r="C479" s="3" t="s">
        <v>1979</v>
      </c>
      <c r="D479" s="4">
        <v>130</v>
      </c>
      <c r="E479" s="3" t="s">
        <v>1980</v>
      </c>
      <c r="F479" s="3" t="s">
        <v>33</v>
      </c>
      <c r="G479" s="3" t="s">
        <v>1981</v>
      </c>
      <c r="H479" s="3" t="s">
        <v>413</v>
      </c>
      <c r="I479" s="3" t="s">
        <v>33</v>
      </c>
      <c r="J479" s="3" t="s">
        <v>67</v>
      </c>
      <c r="K479" s="3" t="s">
        <v>37</v>
      </c>
      <c r="L479" s="3" t="s">
        <v>38</v>
      </c>
      <c r="M479" s="3" t="s">
        <v>24</v>
      </c>
      <c r="N479" s="3" t="s">
        <v>25</v>
      </c>
      <c r="O479" t="str">
        <f>"2024-12-03"</f>
        <v>2024-12-03</v>
      </c>
      <c r="P479" t="str">
        <f>"2025-12-02"</f>
        <v>2025-12-02</v>
      </c>
    </row>
    <row r="480" spans="1:16" x14ac:dyDescent="0.2">
      <c r="A480" t="str" cm="1">
        <f t="array" ref="A480">_xlfn.LET(
    _xlpm.txt, B480,
    _xlpm.chars, MID(_xlpm.txt, _xlfn.SEQUENCE(LEN(_xlpm.txt)), 1),
    _xlpm.filtered, _xlfn._xlws.FILTER(_xlpm.chars, NOT(ISNUMBER(SEARCH(_xlpm.chars, "ABCDEFGHIJKLMNOPQRSTUVWXYZabcdefghijklmnopqrstuvwxyz")))),
    _xlfn.TEXTJOIN("",, _xlpm.filtered)
)</f>
        <v>000741</v>
      </c>
      <c r="B480" s="3" t="s">
        <v>1982</v>
      </c>
      <c r="C480" s="3" t="s">
        <v>986</v>
      </c>
      <c r="D480" s="4">
        <v>650</v>
      </c>
      <c r="E480" s="3" t="s">
        <v>767</v>
      </c>
      <c r="F480" s="3" t="s">
        <v>33</v>
      </c>
      <c r="G480" s="3" t="s">
        <v>1983</v>
      </c>
      <c r="H480" s="3" t="s">
        <v>308</v>
      </c>
      <c r="I480" s="3" t="s">
        <v>20</v>
      </c>
      <c r="J480" s="3" t="s">
        <v>33</v>
      </c>
      <c r="K480" s="3" t="s">
        <v>1546</v>
      </c>
      <c r="L480" s="3" t="s">
        <v>1546</v>
      </c>
      <c r="M480" s="3" t="s">
        <v>1546</v>
      </c>
      <c r="N480" s="3" t="s">
        <v>25</v>
      </c>
      <c r="O480" t="str">
        <f>"2025-01-01"</f>
        <v>2025-01-01</v>
      </c>
      <c r="P480" t="str">
        <f>"2025-12-31"</f>
        <v>2025-12-31</v>
      </c>
    </row>
    <row r="481" spans="1:16" x14ac:dyDescent="0.2">
      <c r="A481" t="str" cm="1">
        <f t="array" ref="A481">_xlfn.LET(
    _xlpm.txt, B481,
    _xlpm.chars, MID(_xlpm.txt, _xlfn.SEQUENCE(LEN(_xlpm.txt)), 1),
    _xlpm.filtered, _xlfn._xlws.FILTER(_xlpm.chars, NOT(ISNUMBER(SEARCH(_xlpm.chars, "ABCDEFGHIJKLMNOPQRSTUVWXYZabcdefghijklmnopqrstuvwxyz")))),
    _xlfn.TEXTJOIN("",, _xlpm.filtered)
)</f>
        <v>000743</v>
      </c>
      <c r="B481" s="3" t="s">
        <v>1984</v>
      </c>
      <c r="C481" s="3" t="s">
        <v>1152</v>
      </c>
      <c r="D481" s="4">
        <v>150</v>
      </c>
      <c r="E481" s="3" t="s">
        <v>1985</v>
      </c>
      <c r="F481" s="3" t="s">
        <v>33</v>
      </c>
      <c r="G481" s="3" t="s">
        <v>1986</v>
      </c>
      <c r="H481" s="3" t="s">
        <v>302</v>
      </c>
      <c r="I481" s="3" t="s">
        <v>33</v>
      </c>
      <c r="J481" s="3" t="s">
        <v>60</v>
      </c>
      <c r="K481" s="3" t="s">
        <v>517</v>
      </c>
      <c r="L481" s="3" t="s">
        <v>38</v>
      </c>
      <c r="M481" s="3" t="s">
        <v>1987</v>
      </c>
      <c r="N481" s="3" t="s">
        <v>25</v>
      </c>
      <c r="O481" t="str">
        <f>"2025-03-01"</f>
        <v>2025-03-01</v>
      </c>
      <c r="P481" t="str">
        <f>"2026-02-28"</f>
        <v>2026-02-28</v>
      </c>
    </row>
    <row r="482" spans="1:16" x14ac:dyDescent="0.2">
      <c r="A482" t="str" cm="1">
        <f t="array" ref="A482">_xlfn.LET(
    _xlpm.txt, B482,
    _xlpm.chars, MID(_xlpm.txt, _xlfn.SEQUENCE(LEN(_xlpm.txt)), 1),
    _xlpm.filtered, _xlfn._xlws.FILTER(_xlpm.chars, NOT(ISNUMBER(SEARCH(_xlpm.chars, "ABCDEFGHIJKLMNOPQRSTUVWXYZabcdefghijklmnopqrstuvwxyz")))),
    _xlfn.TEXTJOIN("",, _xlpm.filtered)
)</f>
        <v>000744</v>
      </c>
      <c r="B482" s="3" t="s">
        <v>1988</v>
      </c>
      <c r="C482" s="3" t="s">
        <v>1989</v>
      </c>
      <c r="D482" s="4">
        <v>130</v>
      </c>
      <c r="E482" s="3" t="s">
        <v>1990</v>
      </c>
      <c r="F482" s="3" t="s">
        <v>33</v>
      </c>
      <c r="G482" s="3" t="s">
        <v>1991</v>
      </c>
      <c r="H482" s="3" t="s">
        <v>665</v>
      </c>
      <c r="I482" s="3" t="s">
        <v>33</v>
      </c>
      <c r="J482" s="3" t="s">
        <v>511</v>
      </c>
      <c r="K482" s="3" t="s">
        <v>46</v>
      </c>
      <c r="L482" s="3" t="s">
        <v>38</v>
      </c>
      <c r="M482" s="3" t="s">
        <v>518</v>
      </c>
      <c r="N482" s="3" t="s">
        <v>25</v>
      </c>
      <c r="O482" t="str">
        <f>"2024-12-06"</f>
        <v>2024-12-06</v>
      </c>
      <c r="P482" t="str">
        <f>"2025-12-05"</f>
        <v>2025-12-05</v>
      </c>
    </row>
    <row r="483" spans="1:16" x14ac:dyDescent="0.2">
      <c r="A483" t="str" cm="1">
        <f t="array" ref="A483">_xlfn.LET(
    _xlpm.txt, B483,
    _xlpm.chars, MID(_xlpm.txt, _xlfn.SEQUENCE(LEN(_xlpm.txt)), 1),
    _xlpm.filtered, _xlfn._xlws.FILTER(_xlpm.chars, NOT(ISNUMBER(SEARCH(_xlpm.chars, "ABCDEFGHIJKLMNOPQRSTUVWXYZabcdefghijklmnopqrstuvwxyz")))),
    _xlfn.TEXTJOIN("",, _xlpm.filtered)
)</f>
        <v>000745</v>
      </c>
      <c r="B483" s="3" t="s">
        <v>1992</v>
      </c>
      <c r="C483" s="3" t="s">
        <v>923</v>
      </c>
      <c r="D483" s="4">
        <v>500</v>
      </c>
      <c r="E483" s="3" t="s">
        <v>920</v>
      </c>
      <c r="F483" s="3" t="s">
        <v>33</v>
      </c>
      <c r="G483" s="3" t="s">
        <v>1993</v>
      </c>
      <c r="H483" s="3" t="s">
        <v>132</v>
      </c>
      <c r="I483" s="3" t="s">
        <v>20</v>
      </c>
      <c r="J483" s="3" t="s">
        <v>119</v>
      </c>
      <c r="K483" s="3" t="s">
        <v>499</v>
      </c>
      <c r="L483" s="3" t="s">
        <v>499</v>
      </c>
      <c r="M483" s="3" t="s">
        <v>499</v>
      </c>
      <c r="N483" s="3" t="s">
        <v>25</v>
      </c>
      <c r="O483" t="str">
        <f>"2024-12-10"</f>
        <v>2024-12-10</v>
      </c>
      <c r="P483" t="str">
        <f>"2025-12-09"</f>
        <v>2025-12-09</v>
      </c>
    </row>
    <row r="484" spans="1:16" x14ac:dyDescent="0.2">
      <c r="A484" t="str" cm="1">
        <f t="array" ref="A484">_xlfn.LET(
    _xlpm.txt, B484,
    _xlpm.chars, MID(_xlpm.txt, _xlfn.SEQUENCE(LEN(_xlpm.txt)), 1),
    _xlpm.filtered, _xlfn._xlws.FILTER(_xlpm.chars, NOT(ISNUMBER(SEARCH(_xlpm.chars, "ABCDEFGHIJKLMNOPQRSTUVWXYZabcdefghijklmnopqrstuvwxyz")))),
    _xlfn.TEXTJOIN("",, _xlpm.filtered)
)</f>
        <v>000746</v>
      </c>
      <c r="B484" s="3" t="s">
        <v>1994</v>
      </c>
      <c r="C484" s="3" t="s">
        <v>1995</v>
      </c>
      <c r="D484" s="4">
        <v>100</v>
      </c>
      <c r="E484" s="3" t="s">
        <v>1996</v>
      </c>
      <c r="F484" s="3" t="s">
        <v>1997</v>
      </c>
      <c r="G484" s="3" t="s">
        <v>1998</v>
      </c>
      <c r="H484" s="3" t="s">
        <v>855</v>
      </c>
      <c r="I484" s="3" t="s">
        <v>33</v>
      </c>
      <c r="J484" s="3" t="s">
        <v>511</v>
      </c>
      <c r="K484" s="3" t="s">
        <v>37</v>
      </c>
      <c r="L484" s="3" t="s">
        <v>1349</v>
      </c>
      <c r="M484" s="3" t="s">
        <v>1999</v>
      </c>
      <c r="N484" s="3" t="s">
        <v>273</v>
      </c>
      <c r="O484" t="str">
        <f>"2025-01-01"</f>
        <v>2025-01-01</v>
      </c>
      <c r="P484" t="str">
        <f>"2025-12-31"</f>
        <v>2025-12-31</v>
      </c>
    </row>
    <row r="485" spans="1:16" x14ac:dyDescent="0.2">
      <c r="A485" t="str" cm="1">
        <f t="array" ref="A485">_xlfn.LET(
    _xlpm.txt, B485,
    _xlpm.chars, MID(_xlpm.txt, _xlfn.SEQUENCE(LEN(_xlpm.txt)), 1),
    _xlpm.filtered, _xlfn._xlws.FILTER(_xlpm.chars, NOT(ISNUMBER(SEARCH(_xlpm.chars, "ABCDEFGHIJKLMNOPQRSTUVWXYZabcdefghijklmnopqrstuvwxyz")))),
    _xlfn.TEXTJOIN("",, _xlpm.filtered)
)</f>
        <v>000747</v>
      </c>
      <c r="B485" s="3" t="s">
        <v>2000</v>
      </c>
      <c r="C485" s="3" t="s">
        <v>2001</v>
      </c>
      <c r="D485" s="4">
        <v>210</v>
      </c>
      <c r="E485" s="3" t="s">
        <v>2002</v>
      </c>
      <c r="F485" s="3" t="s">
        <v>33</v>
      </c>
      <c r="G485" s="3" t="s">
        <v>2003</v>
      </c>
      <c r="H485" s="3" t="s">
        <v>264</v>
      </c>
      <c r="I485" s="3" t="s">
        <v>33</v>
      </c>
      <c r="J485" s="3" t="s">
        <v>67</v>
      </c>
      <c r="K485" s="3" t="s">
        <v>2004</v>
      </c>
      <c r="L485" s="3" t="s">
        <v>2005</v>
      </c>
      <c r="M485" s="3" t="s">
        <v>2004</v>
      </c>
      <c r="N485" s="3" t="s">
        <v>273</v>
      </c>
      <c r="O485" t="str">
        <f>"2025-01-17"</f>
        <v>2025-01-17</v>
      </c>
      <c r="P485" t="str">
        <f>"2026-01-16"</f>
        <v>2026-01-16</v>
      </c>
    </row>
    <row r="486" spans="1:16" x14ac:dyDescent="0.2">
      <c r="A486" t="str" cm="1">
        <f t="array" ref="A486">_xlfn.LET(
    _xlpm.txt, B486,
    _xlpm.chars, MID(_xlpm.txt, _xlfn.SEQUENCE(LEN(_xlpm.txt)), 1),
    _xlpm.filtered, _xlfn._xlws.FILTER(_xlpm.chars, NOT(ISNUMBER(SEARCH(_xlpm.chars, "ABCDEFGHIJKLMNOPQRSTUVWXYZabcdefghijklmnopqrstuvwxyz")))),
    _xlfn.TEXTJOIN("",, _xlpm.filtered)
)</f>
        <v>000748</v>
      </c>
      <c r="B486" s="3" t="s">
        <v>2006</v>
      </c>
      <c r="C486" s="3" t="s">
        <v>2007</v>
      </c>
      <c r="D486" s="4">
        <v>110</v>
      </c>
      <c r="E486" s="3" t="s">
        <v>2008</v>
      </c>
      <c r="F486" s="3" t="s">
        <v>2009</v>
      </c>
      <c r="G486" s="3" t="s">
        <v>2010</v>
      </c>
      <c r="H486" s="3" t="s">
        <v>308</v>
      </c>
      <c r="I486" s="3" t="s">
        <v>33</v>
      </c>
      <c r="J486" s="3" t="s">
        <v>511</v>
      </c>
      <c r="K486" s="3" t="s">
        <v>37</v>
      </c>
      <c r="L486" s="3" t="s">
        <v>38</v>
      </c>
      <c r="M486" s="3" t="s">
        <v>2011</v>
      </c>
      <c r="N486" s="3" t="s">
        <v>273</v>
      </c>
      <c r="O486" t="str">
        <f>"2025-01-12"</f>
        <v>2025-01-12</v>
      </c>
      <c r="P486" t="str">
        <f>"2026-01-11"</f>
        <v>2026-01-11</v>
      </c>
    </row>
    <row r="487" spans="1:16" x14ac:dyDescent="0.2">
      <c r="A487" t="str" cm="1">
        <f t="array" ref="A487">_xlfn.LET(
    _xlpm.txt, B487,
    _xlpm.chars, MID(_xlpm.txt, _xlfn.SEQUENCE(LEN(_xlpm.txt)), 1),
    _xlpm.filtered, _xlfn._xlws.FILTER(_xlpm.chars, NOT(ISNUMBER(SEARCH(_xlpm.chars, "ABCDEFGHIJKLMNOPQRSTUVWXYZabcdefghijklmnopqrstuvwxyz")))),
    _xlfn.TEXTJOIN("",, _xlpm.filtered)
)</f>
        <v>000749</v>
      </c>
      <c r="B487" s="3" t="s">
        <v>2012</v>
      </c>
      <c r="C487" s="3" t="s">
        <v>2013</v>
      </c>
      <c r="D487" s="4">
        <v>150</v>
      </c>
      <c r="E487" s="3" t="s">
        <v>2014</v>
      </c>
      <c r="F487" s="3" t="s">
        <v>33</v>
      </c>
      <c r="G487" s="3" t="s">
        <v>2015</v>
      </c>
      <c r="H487" s="3" t="s">
        <v>623</v>
      </c>
      <c r="I487" s="3" t="s">
        <v>33</v>
      </c>
      <c r="J487" s="3" t="s">
        <v>85</v>
      </c>
      <c r="K487" s="3" t="s">
        <v>517</v>
      </c>
      <c r="L487" s="3" t="s">
        <v>2016</v>
      </c>
      <c r="M487" s="3" t="s">
        <v>2017</v>
      </c>
      <c r="N487" s="3" t="s">
        <v>25</v>
      </c>
      <c r="O487" t="str">
        <f>"2024-12-11"</f>
        <v>2024-12-11</v>
      </c>
      <c r="P487" t="str">
        <f>"2025-12-10"</f>
        <v>2025-12-10</v>
      </c>
    </row>
    <row r="488" spans="1:16" x14ac:dyDescent="0.2">
      <c r="A488" t="str" cm="1">
        <f t="array" ref="A488">_xlfn.LET(
    _xlpm.txt, B488,
    _xlpm.chars, MID(_xlpm.txt, _xlfn.SEQUENCE(LEN(_xlpm.txt)), 1),
    _xlpm.filtered, _xlfn._xlws.FILTER(_xlpm.chars, NOT(ISNUMBER(SEARCH(_xlpm.chars, "ABCDEFGHIJKLMNOPQRSTUVWXYZabcdefghijklmnopqrstuvwxyz")))),
    _xlfn.TEXTJOIN("",, _xlpm.filtered)
)</f>
        <v>000750</v>
      </c>
      <c r="B488" s="3" t="s">
        <v>2018</v>
      </c>
      <c r="C488" s="3" t="s">
        <v>2019</v>
      </c>
      <c r="D488" s="4">
        <v>350</v>
      </c>
      <c r="E488" s="3" t="s">
        <v>2020</v>
      </c>
      <c r="F488" s="3" t="s">
        <v>2021</v>
      </c>
      <c r="G488" s="3" t="s">
        <v>2022</v>
      </c>
      <c r="H488" s="3" t="s">
        <v>59</v>
      </c>
      <c r="I488" s="3" t="s">
        <v>20</v>
      </c>
      <c r="J488" s="3" t="s">
        <v>73</v>
      </c>
      <c r="K488" s="3" t="s">
        <v>37</v>
      </c>
      <c r="L488" s="3" t="s">
        <v>23</v>
      </c>
      <c r="M488" s="3" t="s">
        <v>24</v>
      </c>
      <c r="N488" s="3" t="s">
        <v>25</v>
      </c>
      <c r="O488" t="str">
        <f>"2025-01-01"</f>
        <v>2025-01-01</v>
      </c>
      <c r="P488" t="str">
        <f>"2025-12-31"</f>
        <v>2025-12-31</v>
      </c>
    </row>
    <row r="489" spans="1:16" x14ac:dyDescent="0.2">
      <c r="A489" t="str" cm="1">
        <f t="array" ref="A489">_xlfn.LET(
    _xlpm.txt, B489,
    _xlpm.chars, MID(_xlpm.txt, _xlfn.SEQUENCE(LEN(_xlpm.txt)), 1),
    _xlpm.filtered, _xlfn._xlws.FILTER(_xlpm.chars, NOT(ISNUMBER(SEARCH(_xlpm.chars, "ABCDEFGHIJKLMNOPQRSTUVWXYZabcdefghijklmnopqrstuvwxyz")))),
    _xlfn.TEXTJOIN("",, _xlpm.filtered)
)</f>
        <v>000755</v>
      </c>
      <c r="B489" s="3" t="s">
        <v>2023</v>
      </c>
      <c r="C489" s="3" t="s">
        <v>2024</v>
      </c>
      <c r="D489" s="4">
        <v>150</v>
      </c>
      <c r="E489" s="3" t="s">
        <v>2025</v>
      </c>
      <c r="F489" s="3" t="s">
        <v>2026</v>
      </c>
      <c r="G489" s="3" t="s">
        <v>2027</v>
      </c>
      <c r="H489" s="3" t="s">
        <v>35</v>
      </c>
      <c r="I489" s="3" t="s">
        <v>33</v>
      </c>
      <c r="J489" s="3" t="s">
        <v>36</v>
      </c>
      <c r="K489" s="3" t="s">
        <v>517</v>
      </c>
      <c r="L489" s="3" t="s">
        <v>2028</v>
      </c>
      <c r="M489" s="3" t="s">
        <v>2029</v>
      </c>
      <c r="N489" s="3" t="s">
        <v>25</v>
      </c>
      <c r="O489" t="str">
        <f>"2024-12-15"</f>
        <v>2024-12-15</v>
      </c>
      <c r="P489" t="str">
        <f>"2025-12-14"</f>
        <v>2025-12-14</v>
      </c>
    </row>
    <row r="490" spans="1:16" x14ac:dyDescent="0.2">
      <c r="A490" t="str" cm="1">
        <f t="array" ref="A490">_xlfn.LET(
    _xlpm.txt, B490,
    _xlpm.chars, MID(_xlpm.txt, _xlfn.SEQUENCE(LEN(_xlpm.txt)), 1),
    _xlpm.filtered, _xlfn._xlws.FILTER(_xlpm.chars, NOT(ISNUMBER(SEARCH(_xlpm.chars, "ABCDEFGHIJKLMNOPQRSTUVWXYZabcdefghijklmnopqrstuvwxyz")))),
    _xlfn.TEXTJOIN("",, _xlpm.filtered)
)</f>
        <v>000757</v>
      </c>
      <c r="B490" s="3" t="s">
        <v>2030</v>
      </c>
      <c r="C490" s="3" t="s">
        <v>2031</v>
      </c>
      <c r="D490" s="4">
        <v>120</v>
      </c>
      <c r="E490" s="3" t="s">
        <v>2032</v>
      </c>
      <c r="F490" s="3" t="s">
        <v>33</v>
      </c>
      <c r="G490" s="3" t="s">
        <v>2033</v>
      </c>
      <c r="H490" s="3" t="s">
        <v>677</v>
      </c>
      <c r="I490" s="3" t="s">
        <v>33</v>
      </c>
      <c r="J490" s="3" t="s">
        <v>36</v>
      </c>
      <c r="K490" s="3" t="s">
        <v>517</v>
      </c>
      <c r="L490" s="3" t="s">
        <v>350</v>
      </c>
      <c r="M490" s="3" t="s">
        <v>1987</v>
      </c>
      <c r="N490" s="3" t="s">
        <v>273</v>
      </c>
      <c r="O490" t="str">
        <f>"2025-02-01"</f>
        <v>2025-02-01</v>
      </c>
      <c r="P490" t="str">
        <f>"2026-01-31"</f>
        <v>2026-01-31</v>
      </c>
    </row>
    <row r="491" spans="1:16" x14ac:dyDescent="0.2">
      <c r="A491" t="str" cm="1">
        <f t="array" ref="A491">_xlfn.LET(
    _xlpm.txt, B491,
    _xlpm.chars, MID(_xlpm.txt, _xlfn.SEQUENCE(LEN(_xlpm.txt)), 1),
    _xlpm.filtered, _xlfn._xlws.FILTER(_xlpm.chars, NOT(ISNUMBER(SEARCH(_xlpm.chars, "ABCDEFGHIJKLMNOPQRSTUVWXYZabcdefghijklmnopqrstuvwxyz")))),
    _xlfn.TEXTJOIN("",, _xlpm.filtered)
)</f>
        <v>000759</v>
      </c>
      <c r="B491" s="3" t="s">
        <v>2034</v>
      </c>
      <c r="C491" s="3" t="s">
        <v>2035</v>
      </c>
      <c r="D491" s="4">
        <v>150</v>
      </c>
      <c r="E491" s="3" t="s">
        <v>2036</v>
      </c>
      <c r="F491" s="3" t="s">
        <v>2037</v>
      </c>
      <c r="G491" s="3" t="s">
        <v>2038</v>
      </c>
      <c r="H491" s="3" t="s">
        <v>202</v>
      </c>
      <c r="I491" s="3" t="s">
        <v>33</v>
      </c>
      <c r="J491" s="3" t="s">
        <v>67</v>
      </c>
      <c r="K491" s="3" t="s">
        <v>2040</v>
      </c>
      <c r="L491" s="3" t="s">
        <v>38</v>
      </c>
      <c r="M491" s="3" t="s">
        <v>47</v>
      </c>
      <c r="N491" s="3" t="s">
        <v>25</v>
      </c>
      <c r="O491" t="str">
        <f>"2025-02-01"</f>
        <v>2025-02-01</v>
      </c>
      <c r="P491" t="str">
        <f>"2026-01-31"</f>
        <v>2026-01-31</v>
      </c>
    </row>
    <row r="492" spans="1:16" x14ac:dyDescent="0.2">
      <c r="A492" t="str" cm="1">
        <f t="array" ref="A492">_xlfn.LET(
    _xlpm.txt, B492,
    _xlpm.chars, MID(_xlpm.txt, _xlfn.SEQUENCE(LEN(_xlpm.txt)), 1),
    _xlpm.filtered, _xlfn._xlws.FILTER(_xlpm.chars, NOT(ISNUMBER(SEARCH(_xlpm.chars, "ABCDEFGHIJKLMNOPQRSTUVWXYZabcdefghijklmnopqrstuvwxyz")))),
    _xlfn.TEXTJOIN("",, _xlpm.filtered)
)</f>
        <v>000760</v>
      </c>
      <c r="B492" s="3" t="s">
        <v>2041</v>
      </c>
      <c r="C492" s="3" t="s">
        <v>2039</v>
      </c>
      <c r="D492" s="4">
        <v>150</v>
      </c>
      <c r="E492" s="3" t="s">
        <v>2036</v>
      </c>
      <c r="F492" s="3" t="s">
        <v>2037</v>
      </c>
      <c r="G492" s="3" t="s">
        <v>2042</v>
      </c>
      <c r="H492" s="3" t="s">
        <v>202</v>
      </c>
      <c r="I492" s="3" t="s">
        <v>33</v>
      </c>
      <c r="J492" s="3" t="s">
        <v>67</v>
      </c>
      <c r="K492" s="3" t="s">
        <v>2040</v>
      </c>
      <c r="L492" s="3" t="s">
        <v>38</v>
      </c>
      <c r="M492" s="3" t="s">
        <v>47</v>
      </c>
      <c r="N492" s="3" t="s">
        <v>25</v>
      </c>
      <c r="O492" t="str">
        <f>"2025-02-01"</f>
        <v>2025-02-01</v>
      </c>
      <c r="P492" t="str">
        <f>"2026-01-31"</f>
        <v>2026-01-31</v>
      </c>
    </row>
    <row r="493" spans="1:16" x14ac:dyDescent="0.2">
      <c r="A493" t="str" cm="1">
        <f t="array" ref="A493">_xlfn.LET(
    _xlpm.txt, B493,
    _xlpm.chars, MID(_xlpm.txt, _xlfn.SEQUENCE(LEN(_xlpm.txt)), 1),
    _xlpm.filtered, _xlfn._xlws.FILTER(_xlpm.chars, NOT(ISNUMBER(SEARCH(_xlpm.chars, "ABCDEFGHIJKLMNOPQRSTUVWXYZabcdefghijklmnopqrstuvwxyz")))),
    _xlfn.TEXTJOIN("",, _xlpm.filtered)
)</f>
        <v>000761</v>
      </c>
      <c r="B493" s="3" t="s">
        <v>2043</v>
      </c>
      <c r="C493" s="3" t="s">
        <v>2044</v>
      </c>
      <c r="D493" s="4">
        <v>120</v>
      </c>
      <c r="E493" s="3" t="s">
        <v>2045</v>
      </c>
      <c r="F493" s="3" t="s">
        <v>33</v>
      </c>
      <c r="G493" s="3" t="s">
        <v>2046</v>
      </c>
      <c r="H493" s="3" t="s">
        <v>623</v>
      </c>
      <c r="I493" s="3" t="s">
        <v>33</v>
      </c>
      <c r="J493" s="3" t="s">
        <v>36</v>
      </c>
      <c r="K493" s="3" t="s">
        <v>517</v>
      </c>
      <c r="L493" s="3" t="s">
        <v>38</v>
      </c>
      <c r="M493" s="3" t="s">
        <v>33</v>
      </c>
      <c r="N493" s="3" t="s">
        <v>273</v>
      </c>
      <c r="O493" t="str">
        <f>"2025-05-01"</f>
        <v>2025-05-01</v>
      </c>
      <c r="P493" t="str">
        <f>"2026-04-30"</f>
        <v>2026-04-30</v>
      </c>
    </row>
    <row r="494" spans="1:16" x14ac:dyDescent="0.2">
      <c r="A494" t="str" cm="1">
        <f t="array" ref="A494">_xlfn.LET(
    _xlpm.txt, B494,
    _xlpm.chars, MID(_xlpm.txt, _xlfn.SEQUENCE(LEN(_xlpm.txt)), 1),
    _xlpm.filtered, _xlfn._xlws.FILTER(_xlpm.chars, NOT(ISNUMBER(SEARCH(_xlpm.chars, "ABCDEFGHIJKLMNOPQRSTUVWXYZabcdefghijklmnopqrstuvwxyz")))),
    _xlfn.TEXTJOIN("",, _xlpm.filtered)
)</f>
        <v>000762</v>
      </c>
      <c r="B494" s="3" t="s">
        <v>2047</v>
      </c>
      <c r="C494" s="3" t="s">
        <v>2048</v>
      </c>
      <c r="D494" s="4">
        <v>150</v>
      </c>
      <c r="E494" s="3" t="s">
        <v>2049</v>
      </c>
      <c r="F494" s="3" t="s">
        <v>33</v>
      </c>
      <c r="G494" s="3" t="s">
        <v>2050</v>
      </c>
      <c r="H494" s="3" t="s">
        <v>670</v>
      </c>
      <c r="I494" s="3" t="s">
        <v>33</v>
      </c>
      <c r="J494" s="3" t="s">
        <v>67</v>
      </c>
      <c r="K494" s="3" t="s">
        <v>825</v>
      </c>
      <c r="L494" s="3" t="s">
        <v>408</v>
      </c>
      <c r="M494" s="3" t="s">
        <v>33</v>
      </c>
      <c r="N494" s="3" t="s">
        <v>25</v>
      </c>
      <c r="O494" t="str">
        <f>"2025-02-07"</f>
        <v>2025-02-07</v>
      </c>
      <c r="P494" t="str">
        <f>"2026-02-06"</f>
        <v>2026-02-06</v>
      </c>
    </row>
    <row r="495" spans="1:16" x14ac:dyDescent="0.2">
      <c r="A495" t="str" cm="1">
        <f t="array" ref="A495">_xlfn.LET(
    _xlpm.txt, B495,
    _xlpm.chars, MID(_xlpm.txt, _xlfn.SEQUENCE(LEN(_xlpm.txt)), 1),
    _xlpm.filtered, _xlfn._xlws.FILTER(_xlpm.chars, NOT(ISNUMBER(SEARCH(_xlpm.chars, "ABCDEFGHIJKLMNOPQRSTUVWXYZabcdefghijklmnopqrstuvwxyz")))),
    _xlfn.TEXTJOIN("",, _xlpm.filtered)
)</f>
        <v>000763</v>
      </c>
      <c r="B495" s="3" t="s">
        <v>2051</v>
      </c>
      <c r="C495" s="3" t="s">
        <v>2052</v>
      </c>
      <c r="D495" s="4">
        <v>550</v>
      </c>
      <c r="E495" s="3" t="s">
        <v>767</v>
      </c>
      <c r="F495" s="3" t="s">
        <v>33</v>
      </c>
      <c r="G495" s="3" t="s">
        <v>2053</v>
      </c>
      <c r="H495" s="3" t="s">
        <v>84</v>
      </c>
      <c r="I495" s="3" t="s">
        <v>33</v>
      </c>
      <c r="J495" s="3" t="s">
        <v>229</v>
      </c>
      <c r="K495" s="3" t="s">
        <v>499</v>
      </c>
      <c r="L495" s="3" t="s">
        <v>499</v>
      </c>
      <c r="M495" s="3" t="s">
        <v>499</v>
      </c>
      <c r="N495" s="3" t="s">
        <v>25</v>
      </c>
      <c r="O495" t="str">
        <f>"2025-03-01"</f>
        <v>2025-03-01</v>
      </c>
      <c r="P495" t="str">
        <f>"2026-02-28"</f>
        <v>2026-02-28</v>
      </c>
    </row>
    <row r="496" spans="1:16" x14ac:dyDescent="0.2">
      <c r="A496" t="str" cm="1">
        <f t="array" ref="A496">_xlfn.LET(
    _xlpm.txt, B496,
    _xlpm.chars, MID(_xlpm.txt, _xlfn.SEQUENCE(LEN(_xlpm.txt)), 1),
    _xlpm.filtered, _xlfn._xlws.FILTER(_xlpm.chars, NOT(ISNUMBER(SEARCH(_xlpm.chars, "ABCDEFGHIJKLMNOPQRSTUVWXYZabcdefghijklmnopqrstuvwxyz")))),
    _xlfn.TEXTJOIN("",, _xlpm.filtered)
)</f>
        <v>000764</v>
      </c>
      <c r="B496" s="3" t="s">
        <v>2054</v>
      </c>
      <c r="C496" s="3" t="s">
        <v>2055</v>
      </c>
      <c r="D496" s="4">
        <v>150</v>
      </c>
      <c r="E496" s="3" t="s">
        <v>2056</v>
      </c>
      <c r="F496" s="3" t="s">
        <v>33</v>
      </c>
      <c r="G496" s="3" t="s">
        <v>2057</v>
      </c>
      <c r="H496" s="3" t="s">
        <v>945</v>
      </c>
      <c r="I496" s="3" t="s">
        <v>33</v>
      </c>
      <c r="J496" s="3" t="s">
        <v>85</v>
      </c>
      <c r="K496" s="3" t="s">
        <v>517</v>
      </c>
      <c r="L496" s="3" t="s">
        <v>38</v>
      </c>
      <c r="M496" s="3" t="s">
        <v>2058</v>
      </c>
      <c r="N496" s="3" t="s">
        <v>25</v>
      </c>
      <c r="O496" t="str">
        <f>"2025-02-15"</f>
        <v>2025-02-15</v>
      </c>
      <c r="P496" t="str">
        <f>"2026-02-14"</f>
        <v>2026-02-14</v>
      </c>
    </row>
    <row r="497" spans="1:16" x14ac:dyDescent="0.2">
      <c r="A497" t="str" cm="1">
        <f t="array" ref="A497">_xlfn.LET(
    _xlpm.txt, B497,
    _xlpm.chars, MID(_xlpm.txt, _xlfn.SEQUENCE(LEN(_xlpm.txt)), 1),
    _xlpm.filtered, _xlfn._xlws.FILTER(_xlpm.chars, NOT(ISNUMBER(SEARCH(_xlpm.chars, "ABCDEFGHIJKLMNOPQRSTUVWXYZabcdefghijklmnopqrstuvwxyz")))),
    _xlfn.TEXTJOIN("",, _xlpm.filtered)
)</f>
        <v>000765</v>
      </c>
      <c r="B497" s="3" t="s">
        <v>2059</v>
      </c>
      <c r="C497" s="3" t="s">
        <v>2060</v>
      </c>
      <c r="D497" s="4">
        <v>300</v>
      </c>
      <c r="E497" s="3" t="s">
        <v>2061</v>
      </c>
      <c r="F497" s="3" t="s">
        <v>2062</v>
      </c>
      <c r="G497" s="3" t="s">
        <v>2063</v>
      </c>
      <c r="H497" s="3" t="s">
        <v>418</v>
      </c>
      <c r="I497" s="3" t="s">
        <v>20</v>
      </c>
      <c r="J497" s="3" t="s">
        <v>67</v>
      </c>
      <c r="K497" s="3" t="s">
        <v>2064</v>
      </c>
      <c r="L497" s="3" t="s">
        <v>2065</v>
      </c>
      <c r="M497" s="3" t="s">
        <v>33</v>
      </c>
      <c r="N497" s="3" t="s">
        <v>25</v>
      </c>
      <c r="O497" t="str">
        <f>"2025-03-15"</f>
        <v>2025-03-15</v>
      </c>
      <c r="P497" t="str">
        <f>"2026-03-14"</f>
        <v>2026-03-14</v>
      </c>
    </row>
    <row r="498" spans="1:16" x14ac:dyDescent="0.2">
      <c r="A498" t="str" cm="1">
        <f t="array" ref="A498">_xlfn.LET(
    _xlpm.txt, B498,
    _xlpm.chars, MID(_xlpm.txt, _xlfn.SEQUENCE(LEN(_xlpm.txt)), 1),
    _xlpm.filtered, _xlfn._xlws.FILTER(_xlpm.chars, NOT(ISNUMBER(SEARCH(_xlpm.chars, "ABCDEFGHIJKLMNOPQRSTUVWXYZabcdefghijklmnopqrstuvwxyz")))),
    _xlfn.TEXTJOIN("",, _xlpm.filtered)
)</f>
        <v>000766</v>
      </c>
      <c r="B498" s="3" t="s">
        <v>2066</v>
      </c>
      <c r="C498" s="3" t="s">
        <v>2067</v>
      </c>
      <c r="D498" s="4">
        <v>130</v>
      </c>
      <c r="E498" s="3" t="s">
        <v>2068</v>
      </c>
      <c r="F498" s="3" t="s">
        <v>33</v>
      </c>
      <c r="G498" s="3" t="s">
        <v>2069</v>
      </c>
      <c r="H498" s="3" t="s">
        <v>2070</v>
      </c>
      <c r="I498" s="3" t="s">
        <v>33</v>
      </c>
      <c r="J498" s="3" t="s">
        <v>511</v>
      </c>
      <c r="K498" s="3" t="s">
        <v>551</v>
      </c>
      <c r="L498" s="3" t="s">
        <v>2016</v>
      </c>
      <c r="M498" s="3" t="s">
        <v>33</v>
      </c>
      <c r="N498" s="3" t="s">
        <v>25</v>
      </c>
      <c r="O498" t="str">
        <f>"2025-03-01"</f>
        <v>2025-03-01</v>
      </c>
      <c r="P498" t="str">
        <f>"2026-02-28"</f>
        <v>2026-02-28</v>
      </c>
    </row>
    <row r="499" spans="1:16" x14ac:dyDescent="0.2">
      <c r="A499" t="str" cm="1">
        <f t="array" ref="A499">_xlfn.LET(
    _xlpm.txt, B499,
    _xlpm.chars, MID(_xlpm.txt, _xlfn.SEQUENCE(LEN(_xlpm.txt)), 1),
    _xlpm.filtered, _xlfn._xlws.FILTER(_xlpm.chars, NOT(ISNUMBER(SEARCH(_xlpm.chars, "ABCDEFGHIJKLMNOPQRSTUVWXYZabcdefghijklmnopqrstuvwxyz")))),
    _xlfn.TEXTJOIN("",, _xlpm.filtered)
)</f>
        <v>000767</v>
      </c>
      <c r="B499" s="3" t="s">
        <v>2071</v>
      </c>
      <c r="C499" s="3" t="s">
        <v>923</v>
      </c>
      <c r="D499" s="4">
        <v>450</v>
      </c>
      <c r="E499" s="3" t="s">
        <v>920</v>
      </c>
      <c r="F499" s="3" t="s">
        <v>33</v>
      </c>
      <c r="G499" s="3" t="s">
        <v>2072</v>
      </c>
      <c r="H499" s="3" t="s">
        <v>487</v>
      </c>
      <c r="I499" s="3" t="s">
        <v>33</v>
      </c>
      <c r="J499" s="3" t="s">
        <v>119</v>
      </c>
      <c r="K499" s="3" t="s">
        <v>499</v>
      </c>
      <c r="L499" s="3" t="s">
        <v>499</v>
      </c>
      <c r="M499" s="3" t="s">
        <v>499</v>
      </c>
      <c r="N499" s="3" t="s">
        <v>25</v>
      </c>
      <c r="O499" t="str">
        <f>"2025-03-01"</f>
        <v>2025-03-01</v>
      </c>
      <c r="P499" t="str">
        <f>"2026-02-28"</f>
        <v>2026-02-28</v>
      </c>
    </row>
    <row r="500" spans="1:16" x14ac:dyDescent="0.2">
      <c r="A500" t="str" cm="1">
        <f t="array" ref="A500">_xlfn.LET(
    _xlpm.txt, B500,
    _xlpm.chars, MID(_xlpm.txt, _xlfn.SEQUENCE(LEN(_xlpm.txt)), 1),
    _xlpm.filtered, _xlfn._xlws.FILTER(_xlpm.chars, NOT(ISNUMBER(SEARCH(_xlpm.chars, "ABCDEFGHIJKLMNOPQRSTUVWXYZabcdefghijklmnopqrstuvwxyz")))),
    _xlfn.TEXTJOIN("",, _xlpm.filtered)
)</f>
        <v>000771</v>
      </c>
      <c r="B500" s="3" t="s">
        <v>2073</v>
      </c>
      <c r="C500" s="3" t="s">
        <v>2074</v>
      </c>
      <c r="D500" s="4">
        <v>150</v>
      </c>
      <c r="E500" s="3" t="s">
        <v>2075</v>
      </c>
      <c r="F500" s="3" t="s">
        <v>33</v>
      </c>
      <c r="G500" s="3" t="s">
        <v>2076</v>
      </c>
      <c r="H500" s="3" t="s">
        <v>1503</v>
      </c>
      <c r="I500" s="3" t="s">
        <v>33</v>
      </c>
      <c r="J500" s="3" t="s">
        <v>36</v>
      </c>
      <c r="K500" s="3" t="s">
        <v>33</v>
      </c>
      <c r="L500" s="3" t="s">
        <v>518</v>
      </c>
      <c r="M500" s="3" t="s">
        <v>33</v>
      </c>
      <c r="N500" s="3" t="s">
        <v>25</v>
      </c>
      <c r="O500" t="str">
        <f>"2025-03-07"</f>
        <v>2025-03-07</v>
      </c>
      <c r="P500" t="str">
        <f>"2026-03-06"</f>
        <v>2026-03-06</v>
      </c>
    </row>
    <row r="501" spans="1:16" x14ac:dyDescent="0.2">
      <c r="A501" t="str" cm="1">
        <f t="array" ref="A501">_xlfn.LET(
    _xlpm.txt, B501,
    _xlpm.chars, MID(_xlpm.txt, _xlfn.SEQUENCE(LEN(_xlpm.txt)), 1),
    _xlpm.filtered, _xlfn._xlws.FILTER(_xlpm.chars, NOT(ISNUMBER(SEARCH(_xlpm.chars, "ABCDEFGHIJKLMNOPQRSTUVWXYZabcdefghijklmnopqrstuvwxyz")))),
    _xlfn.TEXTJOIN("",, _xlpm.filtered)
)</f>
        <v>000772</v>
      </c>
      <c r="B501" s="3" t="s">
        <v>2077</v>
      </c>
      <c r="C501" s="3" t="s">
        <v>2078</v>
      </c>
      <c r="D501" s="4">
        <v>150</v>
      </c>
      <c r="E501" s="3" t="s">
        <v>2079</v>
      </c>
      <c r="F501" s="3" t="s">
        <v>33</v>
      </c>
      <c r="G501" s="3" t="s">
        <v>2080</v>
      </c>
      <c r="H501" s="3" t="s">
        <v>368</v>
      </c>
      <c r="I501" s="3" t="s">
        <v>33</v>
      </c>
      <c r="J501" s="3" t="s">
        <v>67</v>
      </c>
      <c r="K501" s="3" t="s">
        <v>33</v>
      </c>
      <c r="L501" s="3" t="s">
        <v>23</v>
      </c>
      <c r="M501" s="3" t="s">
        <v>33</v>
      </c>
      <c r="N501" s="3" t="s">
        <v>25</v>
      </c>
      <c r="O501" t="str">
        <f>"2025-04-01"</f>
        <v>2025-04-01</v>
      </c>
      <c r="P501" t="str">
        <f>"2026-03-31"</f>
        <v>2026-03-31</v>
      </c>
    </row>
    <row r="502" spans="1:16" x14ac:dyDescent="0.2">
      <c r="A502" t="str" cm="1">
        <f t="array" ref="A502">_xlfn.LET(
    _xlpm.txt, B502,
    _xlpm.chars, MID(_xlpm.txt, _xlfn.SEQUENCE(LEN(_xlpm.txt)), 1),
    _xlpm.filtered, _xlfn._xlws.FILTER(_xlpm.chars, NOT(ISNUMBER(SEARCH(_xlpm.chars, "ABCDEFGHIJKLMNOPQRSTUVWXYZabcdefghijklmnopqrstuvwxyz")))),
    _xlfn.TEXTJOIN("",, _xlpm.filtered)
)</f>
        <v>000773</v>
      </c>
      <c r="B502" s="3" t="s">
        <v>2081</v>
      </c>
      <c r="C502" s="3" t="s">
        <v>2082</v>
      </c>
      <c r="D502" s="4">
        <v>120</v>
      </c>
      <c r="E502" s="3" t="s">
        <v>2083</v>
      </c>
      <c r="F502" s="3" t="s">
        <v>33</v>
      </c>
      <c r="G502" s="3" t="s">
        <v>2084</v>
      </c>
      <c r="H502" s="3" t="s">
        <v>1295</v>
      </c>
      <c r="I502" s="3" t="s">
        <v>33</v>
      </c>
      <c r="J502" s="3" t="s">
        <v>67</v>
      </c>
      <c r="K502" s="3" t="s">
        <v>2064</v>
      </c>
      <c r="L502" s="3" t="s">
        <v>38</v>
      </c>
      <c r="M502" s="3" t="s">
        <v>33</v>
      </c>
      <c r="N502" s="3" t="s">
        <v>273</v>
      </c>
      <c r="O502" t="str">
        <f>"2025-04-07"</f>
        <v>2025-04-07</v>
      </c>
      <c r="P502" t="str">
        <f>"2026-04-06"</f>
        <v>2026-04-06</v>
      </c>
    </row>
    <row r="503" spans="1:16" x14ac:dyDescent="0.2">
      <c r="A503" t="str" cm="1">
        <f t="array" ref="A503">_xlfn.LET(
    _xlpm.txt, B503,
    _xlpm.chars, MID(_xlpm.txt, _xlfn.SEQUENCE(LEN(_xlpm.txt)), 1),
    _xlpm.filtered, _xlfn._xlws.FILTER(_xlpm.chars, NOT(ISNUMBER(SEARCH(_xlpm.chars, "ABCDEFGHIJKLMNOPQRSTUVWXYZabcdefghijklmnopqrstuvwxyz")))),
    _xlfn.TEXTJOIN("",, _xlpm.filtered)
)</f>
        <v>000774</v>
      </c>
      <c r="B503" s="3" t="s">
        <v>2085</v>
      </c>
      <c r="C503" s="3" t="s">
        <v>2086</v>
      </c>
      <c r="D503" s="4">
        <v>150</v>
      </c>
      <c r="E503" s="3" t="s">
        <v>2087</v>
      </c>
      <c r="F503" s="3" t="s">
        <v>33</v>
      </c>
      <c r="G503" s="3" t="s">
        <v>2088</v>
      </c>
      <c r="H503" s="3" t="s">
        <v>270</v>
      </c>
      <c r="I503" s="3" t="s">
        <v>33</v>
      </c>
      <c r="J503" s="3" t="s">
        <v>67</v>
      </c>
      <c r="K503" s="3" t="s">
        <v>33</v>
      </c>
      <c r="L503" s="3" t="s">
        <v>2089</v>
      </c>
      <c r="M503" s="3" t="s">
        <v>33</v>
      </c>
      <c r="N503" s="3" t="s">
        <v>25</v>
      </c>
      <c r="O503" t="str">
        <f>"2025-03-20"</f>
        <v>2025-03-20</v>
      </c>
      <c r="P503" t="str">
        <f>"2026-03-19"</f>
        <v>2026-03-19</v>
      </c>
    </row>
    <row r="504" spans="1:16" x14ac:dyDescent="0.2">
      <c r="A504" t="str" cm="1">
        <f t="array" ref="A504">_xlfn.LET(
    _xlpm.txt, B504,
    _xlpm.chars, MID(_xlpm.txt, _xlfn.SEQUENCE(LEN(_xlpm.txt)), 1),
    _xlpm.filtered, _xlfn._xlws.FILTER(_xlpm.chars, NOT(ISNUMBER(SEARCH(_xlpm.chars, "ABCDEFGHIJKLMNOPQRSTUVWXYZabcdefghijklmnopqrstuvwxyz")))),
    _xlfn.TEXTJOIN("",, _xlpm.filtered)
)</f>
        <v>000775</v>
      </c>
      <c r="B504" s="3" t="s">
        <v>2090</v>
      </c>
      <c r="C504" s="3" t="s">
        <v>2091</v>
      </c>
      <c r="D504" s="4">
        <v>150</v>
      </c>
      <c r="E504" s="3" t="s">
        <v>2092</v>
      </c>
      <c r="F504" s="3" t="s">
        <v>33</v>
      </c>
      <c r="G504" s="3" t="s">
        <v>2093</v>
      </c>
      <c r="H504" s="3" t="s">
        <v>44</v>
      </c>
      <c r="I504" s="3" t="s">
        <v>33</v>
      </c>
      <c r="J504" s="3" t="s">
        <v>36</v>
      </c>
      <c r="K504" s="3" t="s">
        <v>517</v>
      </c>
      <c r="L504" s="3" t="s">
        <v>2028</v>
      </c>
      <c r="M504" s="3" t="s">
        <v>2058</v>
      </c>
      <c r="N504" s="3" t="s">
        <v>25</v>
      </c>
      <c r="O504" t="str">
        <f>"2025-04-01"</f>
        <v>2025-04-01</v>
      </c>
      <c r="P504" t="str">
        <f>"2026-03-31"</f>
        <v>2026-03-31</v>
      </c>
    </row>
    <row r="505" spans="1:16" x14ac:dyDescent="0.2">
      <c r="A505" t="str" cm="1">
        <f t="array" ref="A505">_xlfn.LET(
    _xlpm.txt, B505,
    _xlpm.chars, MID(_xlpm.txt, _xlfn.SEQUENCE(LEN(_xlpm.txt)), 1),
    _xlpm.filtered, _xlfn._xlws.FILTER(_xlpm.chars, NOT(ISNUMBER(SEARCH(_xlpm.chars, "ABCDEFGHIJKLMNOPQRSTUVWXYZabcdefghijklmnopqrstuvwxyz")))),
    _xlfn.TEXTJOIN("",, _xlpm.filtered)
)</f>
        <v>000776</v>
      </c>
      <c r="B505" s="3" t="s">
        <v>2094</v>
      </c>
      <c r="C505" s="3" t="s">
        <v>2095</v>
      </c>
      <c r="D505" s="4">
        <v>150</v>
      </c>
      <c r="E505" s="3" t="s">
        <v>2096</v>
      </c>
      <c r="F505" s="3" t="s">
        <v>33</v>
      </c>
      <c r="G505" s="3" t="s">
        <v>2097</v>
      </c>
      <c r="H505" s="3" t="s">
        <v>2098</v>
      </c>
      <c r="I505" s="3" t="s">
        <v>33</v>
      </c>
      <c r="J505" s="3" t="s">
        <v>36</v>
      </c>
      <c r="K505" s="3" t="s">
        <v>517</v>
      </c>
      <c r="L505" s="3" t="s">
        <v>2016</v>
      </c>
      <c r="M505" s="3" t="s">
        <v>2099</v>
      </c>
      <c r="N505" s="3" t="s">
        <v>273</v>
      </c>
      <c r="O505" t="str">
        <f>"2025-04-01"</f>
        <v>2025-04-01</v>
      </c>
      <c r="P505" t="str">
        <f>"2026-03-31"</f>
        <v>2026-03-31</v>
      </c>
    </row>
    <row r="506" spans="1:16" x14ac:dyDescent="0.2">
      <c r="A506" t="str" cm="1">
        <f t="array" ref="A506">_xlfn.LET(
    _xlpm.txt, B506,
    _xlpm.chars, MID(_xlpm.txt, _xlfn.SEQUENCE(LEN(_xlpm.txt)), 1),
    _xlpm.filtered, _xlfn._xlws.FILTER(_xlpm.chars, NOT(ISNUMBER(SEARCH(_xlpm.chars, "ABCDEFGHIJKLMNOPQRSTUVWXYZabcdefghijklmnopqrstuvwxyz")))),
    _xlfn.TEXTJOIN("",, _xlpm.filtered)
)</f>
        <v>000777</v>
      </c>
      <c r="B506" s="3" t="s">
        <v>2100</v>
      </c>
      <c r="C506" s="3" t="s">
        <v>2101</v>
      </c>
      <c r="D506" s="4">
        <v>350</v>
      </c>
      <c r="E506" s="3" t="s">
        <v>2102</v>
      </c>
      <c r="F506" s="3" t="s">
        <v>33</v>
      </c>
      <c r="G506" s="3" t="s">
        <v>2103</v>
      </c>
      <c r="H506" s="3" t="s">
        <v>824</v>
      </c>
      <c r="I506" s="3" t="s">
        <v>33</v>
      </c>
      <c r="J506" s="3" t="s">
        <v>119</v>
      </c>
      <c r="K506" s="3" t="s">
        <v>499</v>
      </c>
      <c r="L506" s="3" t="s">
        <v>499</v>
      </c>
      <c r="M506" s="3" t="s">
        <v>499</v>
      </c>
      <c r="N506" s="3" t="s">
        <v>273</v>
      </c>
      <c r="O506" t="str">
        <f>"2025-04-15"</f>
        <v>2025-04-15</v>
      </c>
      <c r="P506" t="str">
        <f>"2026-04-14"</f>
        <v>2026-04-14</v>
      </c>
    </row>
    <row r="507" spans="1:16" x14ac:dyDescent="0.2">
      <c r="A507" t="str" cm="1">
        <f t="array" ref="A507">_xlfn.LET(
    _xlpm.txt, B507,
    _xlpm.chars, MID(_xlpm.txt, _xlfn.SEQUENCE(LEN(_xlpm.txt)), 1),
    _xlpm.filtered, _xlfn._xlws.FILTER(_xlpm.chars, NOT(ISNUMBER(SEARCH(_xlpm.chars, "ABCDEFGHIJKLMNOPQRSTUVWXYZabcdefghijklmnopqrstuvwxyz")))),
    _xlfn.TEXTJOIN("",, _xlpm.filtered)
)</f>
        <v>000778</v>
      </c>
      <c r="B507" s="3" t="s">
        <v>2104</v>
      </c>
      <c r="C507" s="3" t="s">
        <v>2105</v>
      </c>
      <c r="D507" s="4">
        <v>350</v>
      </c>
      <c r="E507" s="3" t="s">
        <v>2102</v>
      </c>
      <c r="F507" s="3" t="s">
        <v>33</v>
      </c>
      <c r="G507" s="3" t="s">
        <v>2106</v>
      </c>
      <c r="H507" s="3" t="s">
        <v>824</v>
      </c>
      <c r="I507" s="3" t="s">
        <v>33</v>
      </c>
      <c r="J507" s="3" t="s">
        <v>119</v>
      </c>
      <c r="K507" s="3" t="s">
        <v>499</v>
      </c>
      <c r="L507" s="3" t="s">
        <v>499</v>
      </c>
      <c r="M507" s="3" t="s">
        <v>499</v>
      </c>
      <c r="N507" s="3" t="s">
        <v>273</v>
      </c>
      <c r="O507" t="str">
        <f>"2025-04-15"</f>
        <v>2025-04-15</v>
      </c>
      <c r="P507" t="str">
        <f>"2026-04-14"</f>
        <v>2026-04-14</v>
      </c>
    </row>
    <row r="508" spans="1:16" x14ac:dyDescent="0.2">
      <c r="A508" t="str" cm="1">
        <f t="array" ref="A508">_xlfn.LET(
    _xlpm.txt, B508,
    _xlpm.chars, MID(_xlpm.txt, _xlfn.SEQUENCE(LEN(_xlpm.txt)), 1),
    _xlpm.filtered, _xlfn._xlws.FILTER(_xlpm.chars, NOT(ISNUMBER(SEARCH(_xlpm.chars, "ABCDEFGHIJKLMNOPQRSTUVWXYZabcdefghijklmnopqrstuvwxyz")))),
    _xlfn.TEXTJOIN("",, _xlpm.filtered)
)</f>
        <v>000779</v>
      </c>
      <c r="B508" s="3" t="s">
        <v>2107</v>
      </c>
      <c r="C508" s="3" t="s">
        <v>2108</v>
      </c>
      <c r="D508" s="4">
        <v>140</v>
      </c>
      <c r="E508" s="3" t="s">
        <v>2109</v>
      </c>
      <c r="F508" s="3" t="s">
        <v>33</v>
      </c>
      <c r="G508" s="3" t="s">
        <v>2110</v>
      </c>
      <c r="H508" s="3" t="s">
        <v>941</v>
      </c>
      <c r="I508" s="3" t="s">
        <v>33</v>
      </c>
      <c r="J508" s="3" t="s">
        <v>36</v>
      </c>
      <c r="K508" s="3" t="s">
        <v>33</v>
      </c>
      <c r="L508" s="3" t="s">
        <v>38</v>
      </c>
      <c r="M508" s="3" t="s">
        <v>33</v>
      </c>
      <c r="N508" s="3" t="s">
        <v>25</v>
      </c>
      <c r="O508" t="str">
        <f>"2025-07-01"</f>
        <v>2025-07-01</v>
      </c>
      <c r="P508" t="str">
        <f>"2026-06-30"</f>
        <v>2026-06-30</v>
      </c>
    </row>
    <row r="509" spans="1:16" x14ac:dyDescent="0.2">
      <c r="A509" t="str" cm="1">
        <f t="array" ref="A509">_xlfn.LET(
    _xlpm.txt, B509,
    _xlpm.chars, MID(_xlpm.txt, _xlfn.SEQUENCE(LEN(_xlpm.txt)), 1),
    _xlpm.filtered, _xlfn._xlws.FILTER(_xlpm.chars, NOT(ISNUMBER(SEARCH(_xlpm.chars, "ABCDEFGHIJKLMNOPQRSTUVWXYZabcdefghijklmnopqrstuvwxyz")))),
    _xlfn.TEXTJOIN("",, _xlpm.filtered)
)</f>
        <v>000780</v>
      </c>
      <c r="B509" s="3" t="s">
        <v>2111</v>
      </c>
      <c r="C509" s="3" t="s">
        <v>2112</v>
      </c>
      <c r="D509" s="4">
        <v>150</v>
      </c>
      <c r="E509" s="3" t="s">
        <v>2113</v>
      </c>
      <c r="F509" s="3" t="s">
        <v>2114</v>
      </c>
      <c r="G509" s="3" t="s">
        <v>2115</v>
      </c>
      <c r="H509" s="3" t="s">
        <v>270</v>
      </c>
      <c r="I509" s="3" t="s">
        <v>33</v>
      </c>
      <c r="J509" s="3" t="s">
        <v>511</v>
      </c>
      <c r="K509" s="3" t="s">
        <v>33</v>
      </c>
      <c r="L509" s="3" t="s">
        <v>38</v>
      </c>
      <c r="M509" s="3" t="s">
        <v>33</v>
      </c>
      <c r="N509" s="3" t="s">
        <v>25</v>
      </c>
      <c r="O509" t="str">
        <f>"2025-05-08"</f>
        <v>2025-05-08</v>
      </c>
      <c r="P509" t="str">
        <f>"2026-05-07"</f>
        <v>2026-05-07</v>
      </c>
    </row>
    <row r="510" spans="1:16" x14ac:dyDescent="0.2">
      <c r="A510" t="str" cm="1">
        <f t="array" ref="A510">_xlfn.LET(
    _xlpm.txt, B510,
    _xlpm.chars, MID(_xlpm.txt, _xlfn.SEQUENCE(LEN(_xlpm.txt)), 1),
    _xlpm.filtered, _xlfn._xlws.FILTER(_xlpm.chars, NOT(ISNUMBER(SEARCH(_xlpm.chars, "ABCDEFGHIJKLMNOPQRSTUVWXYZabcdefghijklmnopqrstuvwxyz")))),
    _xlfn.TEXTJOIN("",, _xlpm.filtered)
)</f>
        <v>000783</v>
      </c>
      <c r="B510" s="3" t="s">
        <v>2116</v>
      </c>
      <c r="C510" s="3" t="s">
        <v>2117</v>
      </c>
      <c r="D510" s="4">
        <v>1050</v>
      </c>
      <c r="E510" s="3" t="s">
        <v>33</v>
      </c>
      <c r="F510" s="3" t="s">
        <v>2118</v>
      </c>
      <c r="G510" s="3" t="s">
        <v>2119</v>
      </c>
      <c r="H510" s="3" t="s">
        <v>1122</v>
      </c>
      <c r="I510" s="3" t="s">
        <v>33</v>
      </c>
      <c r="J510" s="3" t="s">
        <v>67</v>
      </c>
      <c r="K510" s="3" t="s">
        <v>378</v>
      </c>
      <c r="L510" s="3" t="s">
        <v>290</v>
      </c>
      <c r="M510" s="3" t="s">
        <v>378</v>
      </c>
      <c r="N510" s="3" t="s">
        <v>25</v>
      </c>
      <c r="O510" t="str">
        <f>"2025-05-15"</f>
        <v>2025-05-15</v>
      </c>
      <c r="P510" t="str">
        <f>"2026-05-14"</f>
        <v>2026-05-14</v>
      </c>
    </row>
    <row r="511" spans="1:16" x14ac:dyDescent="0.2">
      <c r="A511" t="str" cm="1">
        <f t="array" ref="A511">_xlfn.LET(
    _xlpm.txt, B511,
    _xlpm.chars, MID(_xlpm.txt, _xlfn.SEQUENCE(LEN(_xlpm.txt)), 1),
    _xlpm.filtered, _xlfn._xlws.FILTER(_xlpm.chars, NOT(ISNUMBER(SEARCH(_xlpm.chars, "ABCDEFGHIJKLMNOPQRSTUVWXYZabcdefghijklmnopqrstuvwxyz")))),
    _xlfn.TEXTJOIN("",, _xlpm.filtered)
)</f>
        <v>000784</v>
      </c>
      <c r="B511" s="3" t="s">
        <v>2120</v>
      </c>
      <c r="C511" s="3" t="s">
        <v>510</v>
      </c>
      <c r="D511" s="4">
        <v>250</v>
      </c>
      <c r="E511" s="3" t="s">
        <v>2121</v>
      </c>
      <c r="F511" s="3" t="s">
        <v>33</v>
      </c>
      <c r="G511" s="3" t="s">
        <v>2122</v>
      </c>
      <c r="H511" s="3" t="s">
        <v>2123</v>
      </c>
      <c r="I511" s="3" t="s">
        <v>33</v>
      </c>
      <c r="J511" s="3" t="s">
        <v>511</v>
      </c>
      <c r="K511" s="3" t="s">
        <v>2124</v>
      </c>
      <c r="L511" s="3" t="s">
        <v>512</v>
      </c>
      <c r="M511" s="3" t="s">
        <v>2125</v>
      </c>
      <c r="N511" s="3" t="s">
        <v>273</v>
      </c>
      <c r="O511" t="str">
        <f>"2025-06-05"</f>
        <v>2025-06-05</v>
      </c>
      <c r="P511" t="str">
        <f>"2026-06-04"</f>
        <v>2026-06-04</v>
      </c>
    </row>
    <row r="512" spans="1:16" x14ac:dyDescent="0.2">
      <c r="A512" t="str" cm="1">
        <f t="array" ref="A512">_xlfn.LET(
    _xlpm.txt, B512,
    _xlpm.chars, MID(_xlpm.txt, _xlfn.SEQUENCE(LEN(_xlpm.txt)), 1),
    _xlpm.filtered, _xlfn._xlws.FILTER(_xlpm.chars, NOT(ISNUMBER(SEARCH(_xlpm.chars, "ABCDEFGHIJKLMNOPQRSTUVWXYZabcdefghijklmnopqrstuvwxyz")))),
    _xlfn.TEXTJOIN("",, _xlpm.filtered)
)</f>
        <v>000785</v>
      </c>
      <c r="B512" s="3" t="s">
        <v>2126</v>
      </c>
      <c r="C512" s="3" t="s">
        <v>2127</v>
      </c>
      <c r="D512" s="4">
        <v>140</v>
      </c>
      <c r="E512" s="3" t="s">
        <v>2128</v>
      </c>
      <c r="F512" s="3" t="s">
        <v>33</v>
      </c>
      <c r="G512" s="3" t="s">
        <v>2129</v>
      </c>
      <c r="H512" s="3" t="s">
        <v>981</v>
      </c>
      <c r="I512" s="3" t="s">
        <v>33</v>
      </c>
      <c r="J512" s="3" t="s">
        <v>67</v>
      </c>
      <c r="K512" s="3" t="s">
        <v>517</v>
      </c>
      <c r="L512" s="3" t="s">
        <v>38</v>
      </c>
      <c r="M512" s="3" t="s">
        <v>33</v>
      </c>
      <c r="N512" s="3" t="s">
        <v>25</v>
      </c>
      <c r="O512" t="str">
        <f>"2025-06-05"</f>
        <v>2025-06-05</v>
      </c>
      <c r="P512" t="str">
        <f>"2026-06-04"</f>
        <v>2026-06-04</v>
      </c>
    </row>
    <row r="513" spans="1:16" x14ac:dyDescent="0.2">
      <c r="A513" t="str" cm="1">
        <f t="array" ref="A513">_xlfn.LET(
    _xlpm.txt, B513,
    _xlpm.chars, MID(_xlpm.txt, _xlfn.SEQUENCE(LEN(_xlpm.txt)), 1),
    _xlpm.filtered, _xlfn._xlws.FILTER(_xlpm.chars, NOT(ISNUMBER(SEARCH(_xlpm.chars, "ABCDEFGHIJKLMNOPQRSTUVWXYZabcdefghijklmnopqrstuvwxyz")))),
    _xlfn.TEXTJOIN("",, _xlpm.filtered)
)</f>
        <v>000786</v>
      </c>
      <c r="B513" s="3" t="s">
        <v>2130</v>
      </c>
      <c r="C513" s="3" t="s">
        <v>2131</v>
      </c>
      <c r="D513" s="4">
        <v>150</v>
      </c>
      <c r="E513" s="3" t="s">
        <v>2132</v>
      </c>
      <c r="F513" s="3" t="s">
        <v>33</v>
      </c>
      <c r="G513" s="3" t="s">
        <v>2133</v>
      </c>
      <c r="H513" s="3" t="s">
        <v>202</v>
      </c>
      <c r="I513" s="3" t="s">
        <v>33</v>
      </c>
      <c r="J513" s="3" t="s">
        <v>85</v>
      </c>
      <c r="K513" s="3" t="s">
        <v>33</v>
      </c>
      <c r="L513" s="3" t="s">
        <v>2016</v>
      </c>
      <c r="M513" s="3" t="s">
        <v>33</v>
      </c>
      <c r="N513" s="3" t="s">
        <v>25</v>
      </c>
      <c r="O513" t="str">
        <f>"2025-05-09"</f>
        <v>2025-05-09</v>
      </c>
      <c r="P513" t="str">
        <f>"2026-05-08"</f>
        <v>2026-05-08</v>
      </c>
    </row>
    <row r="514" spans="1:16" x14ac:dyDescent="0.2">
      <c r="A514" t="str" cm="1">
        <f t="array" ref="A514">_xlfn.LET(
    _xlpm.txt, B514,
    _xlpm.chars, MID(_xlpm.txt, _xlfn.SEQUENCE(LEN(_xlpm.txt)), 1),
    _xlpm.filtered, _xlfn._xlws.FILTER(_xlpm.chars, NOT(ISNUMBER(SEARCH(_xlpm.chars, "ABCDEFGHIJKLMNOPQRSTUVWXYZabcdefghijklmnopqrstuvwxyz")))),
    _xlfn.TEXTJOIN("",, _xlpm.filtered)
)</f>
        <v>000787</v>
      </c>
      <c r="B514" s="3" t="s">
        <v>2134</v>
      </c>
      <c r="C514" s="3" t="s">
        <v>2135</v>
      </c>
      <c r="D514" s="4">
        <v>150</v>
      </c>
      <c r="E514" s="3" t="s">
        <v>2136</v>
      </c>
      <c r="F514" s="3" t="s">
        <v>33</v>
      </c>
      <c r="G514" s="3" t="s">
        <v>2137</v>
      </c>
      <c r="H514" s="3" t="s">
        <v>623</v>
      </c>
      <c r="I514" s="3" t="s">
        <v>33</v>
      </c>
      <c r="J514" s="3" t="s">
        <v>36</v>
      </c>
      <c r="K514" s="3" t="s">
        <v>33</v>
      </c>
      <c r="L514" s="3" t="s">
        <v>38</v>
      </c>
      <c r="M514" s="3" t="s">
        <v>33</v>
      </c>
      <c r="N514" s="3" t="s">
        <v>25</v>
      </c>
      <c r="O514" t="str">
        <f>"2025-06-10"</f>
        <v>2025-06-10</v>
      </c>
      <c r="P514" t="str">
        <f>"2026-06-09"</f>
        <v>2026-06-09</v>
      </c>
    </row>
    <row r="515" spans="1:16" x14ac:dyDescent="0.2">
      <c r="A515" t="str" cm="1">
        <f t="array" ref="A515">_xlfn.LET(
    _xlpm.txt, B515,
    _xlpm.chars, MID(_xlpm.txt, _xlfn.SEQUENCE(LEN(_xlpm.txt)), 1),
    _xlpm.filtered, _xlfn._xlws.FILTER(_xlpm.chars, NOT(ISNUMBER(SEARCH(_xlpm.chars, "ABCDEFGHIJKLMNOPQRSTUVWXYZabcdefghijklmnopqrstuvwxyz")))),
    _xlfn.TEXTJOIN("",, _xlpm.filtered)
)</f>
        <v>000788</v>
      </c>
      <c r="B515" s="3" t="s">
        <v>2138</v>
      </c>
      <c r="C515" s="3" t="s">
        <v>2139</v>
      </c>
      <c r="D515" s="4">
        <v>130</v>
      </c>
      <c r="E515" s="3" t="s">
        <v>2140</v>
      </c>
      <c r="F515" s="3" t="s">
        <v>33</v>
      </c>
      <c r="G515" s="3" t="s">
        <v>2141</v>
      </c>
      <c r="H515" s="3" t="s">
        <v>363</v>
      </c>
      <c r="I515" s="3" t="s">
        <v>33</v>
      </c>
      <c r="J515" s="3" t="s">
        <v>1947</v>
      </c>
      <c r="K515" s="3" t="s">
        <v>33</v>
      </c>
      <c r="L515" s="3" t="s">
        <v>2016</v>
      </c>
      <c r="M515" s="3" t="s">
        <v>33</v>
      </c>
      <c r="N515" s="3" t="s">
        <v>273</v>
      </c>
      <c r="O515" t="str">
        <f>"2025-06-11"</f>
        <v>2025-06-11</v>
      </c>
      <c r="P515" t="str">
        <f>"2026-06-10"</f>
        <v>2026-06-10</v>
      </c>
    </row>
    <row r="516" spans="1:16" x14ac:dyDescent="0.2">
      <c r="A516" t="str" cm="1">
        <f t="array" ref="A516">_xlfn.LET(
    _xlpm.txt, B516,
    _xlpm.chars, MID(_xlpm.txt, _xlfn.SEQUENCE(LEN(_xlpm.txt)), 1),
    _xlpm.filtered, _xlfn._xlws.FILTER(_xlpm.chars, NOT(ISNUMBER(SEARCH(_xlpm.chars, "ABCDEFGHIJKLMNOPQRSTUVWXYZabcdefghijklmnopqrstuvwxyz")))),
    _xlfn.TEXTJOIN("",, _xlpm.filtered)
)</f>
        <v>000789</v>
      </c>
      <c r="B516" s="3" t="s">
        <v>2142</v>
      </c>
      <c r="C516" s="3" t="s">
        <v>2143</v>
      </c>
      <c r="D516" s="4">
        <v>100</v>
      </c>
      <c r="E516" s="3" t="s">
        <v>2144</v>
      </c>
      <c r="F516" s="3" t="s">
        <v>2145</v>
      </c>
      <c r="G516" s="3" t="s">
        <v>2146</v>
      </c>
      <c r="H516" s="3" t="s">
        <v>665</v>
      </c>
      <c r="I516" s="3" t="s">
        <v>33</v>
      </c>
      <c r="J516" s="3" t="s">
        <v>511</v>
      </c>
      <c r="K516" s="3" t="s">
        <v>33</v>
      </c>
      <c r="L516" s="3" t="s">
        <v>33</v>
      </c>
      <c r="M516" s="3" t="s">
        <v>33</v>
      </c>
      <c r="N516" s="3" t="s">
        <v>273</v>
      </c>
      <c r="O516" t="str">
        <f>"2025-06-13"</f>
        <v>2025-06-13</v>
      </c>
      <c r="P516" t="str">
        <f>"2026-06-12"</f>
        <v>2026-06-12</v>
      </c>
    </row>
    <row r="517" spans="1:16" x14ac:dyDescent="0.2">
      <c r="A517" t="str" cm="1">
        <f t="array" ref="A517">_xlfn.LET(
    _xlpm.txt, B517,
    _xlpm.chars, MID(_xlpm.txt, _xlfn.SEQUENCE(LEN(_xlpm.txt)), 1),
    _xlpm.filtered, _xlfn._xlws.FILTER(_xlpm.chars, NOT(ISNUMBER(SEARCH(_xlpm.chars, "ABCDEFGHIJKLMNOPQRSTUVWXYZabcdefghijklmnopqrstuvwxyz")))),
    _xlfn.TEXTJOIN("",, _xlpm.filtered)
)</f>
        <v>000791</v>
      </c>
      <c r="B517" s="3" t="s">
        <v>2147</v>
      </c>
      <c r="C517" s="3" t="s">
        <v>2148</v>
      </c>
      <c r="D517" s="4">
        <v>360</v>
      </c>
      <c r="E517" s="3" t="s">
        <v>1033</v>
      </c>
      <c r="F517" s="3" t="s">
        <v>33</v>
      </c>
      <c r="G517" s="3" t="s">
        <v>2149</v>
      </c>
      <c r="H517" s="3" t="s">
        <v>132</v>
      </c>
      <c r="I517" s="3" t="s">
        <v>33</v>
      </c>
      <c r="J517" s="3" t="s">
        <v>119</v>
      </c>
      <c r="K517" s="3" t="s">
        <v>33</v>
      </c>
      <c r="L517" s="3" t="s">
        <v>38</v>
      </c>
      <c r="M517" s="3" t="s">
        <v>33</v>
      </c>
      <c r="N517" s="3" t="s">
        <v>25</v>
      </c>
      <c r="O517" t="str">
        <f>"2025-06-20"</f>
        <v>2025-06-20</v>
      </c>
      <c r="P517" t="str">
        <f>"2026-06-19"</f>
        <v>2026-06-19</v>
      </c>
    </row>
    <row r="518" spans="1:16" x14ac:dyDescent="0.2">
      <c r="A518" t="str" cm="1">
        <f t="array" ref="A518">_xlfn.LET(
    _xlpm.txt, B518,
    _xlpm.chars, MID(_xlpm.txt, _xlfn.SEQUENCE(LEN(_xlpm.txt)), 1),
    _xlpm.filtered, _xlfn._xlws.FILTER(_xlpm.chars, NOT(ISNUMBER(SEARCH(_xlpm.chars, "ABCDEFGHIJKLMNOPQRSTUVWXYZabcdefghijklmnopqrstuvwxyz")))),
    _xlfn.TEXTJOIN("",, _xlpm.filtered)
)</f>
        <v>000792</v>
      </c>
      <c r="B518" s="3" t="s">
        <v>2150</v>
      </c>
      <c r="C518" s="3" t="s">
        <v>2151</v>
      </c>
      <c r="D518" s="4">
        <v>360</v>
      </c>
      <c r="E518" s="3" t="s">
        <v>1033</v>
      </c>
      <c r="F518" s="3" t="s">
        <v>33</v>
      </c>
      <c r="G518" s="3" t="s">
        <v>2152</v>
      </c>
      <c r="H518" s="3" t="s">
        <v>132</v>
      </c>
      <c r="I518" s="3" t="s">
        <v>33</v>
      </c>
      <c r="J518" s="3" t="s">
        <v>119</v>
      </c>
      <c r="K518" s="3" t="s">
        <v>2124</v>
      </c>
      <c r="L518" s="3" t="s">
        <v>38</v>
      </c>
      <c r="M518" s="3" t="s">
        <v>33</v>
      </c>
      <c r="N518" s="3" t="s">
        <v>25</v>
      </c>
      <c r="O518" t="str">
        <f>"2025-06-20"</f>
        <v>2025-06-20</v>
      </c>
      <c r="P518" t="str">
        <f>"2026-06-19"</f>
        <v>2026-06-19</v>
      </c>
    </row>
    <row r="519" spans="1:16" x14ac:dyDescent="0.2">
      <c r="A519" t="str" cm="1">
        <f t="array" ref="A519">_xlfn.LET(
    _xlpm.txt, B519,
    _xlpm.chars, MID(_xlpm.txt, _xlfn.SEQUENCE(LEN(_xlpm.txt)), 1),
    _xlpm.filtered, _xlfn._xlws.FILTER(_xlpm.chars, NOT(ISNUMBER(SEARCH(_xlpm.chars, "ABCDEFGHIJKLMNOPQRSTUVWXYZabcdefghijklmnopqrstuvwxyz")))),
    _xlfn.TEXTJOIN("",, _xlpm.filtered)
)</f>
        <v>000795</v>
      </c>
      <c r="B519" s="3" t="s">
        <v>2153</v>
      </c>
      <c r="C519" s="3" t="s">
        <v>2127</v>
      </c>
      <c r="D519" s="4">
        <v>0</v>
      </c>
      <c r="E519" s="3" t="s">
        <v>2128</v>
      </c>
      <c r="F519" s="3" t="s">
        <v>2154</v>
      </c>
      <c r="G519" s="3" t="s">
        <v>2155</v>
      </c>
      <c r="H519" s="3" t="s">
        <v>1256</v>
      </c>
      <c r="I519" s="3" t="s">
        <v>33</v>
      </c>
      <c r="J519" s="3" t="s">
        <v>67</v>
      </c>
      <c r="K519" s="3" t="s">
        <v>33</v>
      </c>
      <c r="L519" s="3" t="s">
        <v>1521</v>
      </c>
      <c r="M519" s="3" t="s">
        <v>33</v>
      </c>
      <c r="N519" s="3" t="s">
        <v>25</v>
      </c>
      <c r="O519" t="str">
        <f>"2024-06-22"</f>
        <v>2024-06-22</v>
      </c>
      <c r="P519" t="str">
        <f>"2025-06-21"</f>
        <v>2025-06-21</v>
      </c>
    </row>
    <row r="520" spans="1:16" x14ac:dyDescent="0.2">
      <c r="A520" t="str" cm="1">
        <f t="array" ref="A520">_xlfn.LET(
    _xlpm.txt, B520,
    _xlpm.chars, MID(_xlpm.txt, _xlfn.SEQUENCE(LEN(_xlpm.txt)), 1),
    _xlpm.filtered, _xlfn._xlws.FILTER(_xlpm.chars, NOT(ISNUMBER(SEARCH(_xlpm.chars, "ABCDEFGHIJKLMNOPQRSTUVWXYZabcdefghijklmnopqrstuvwxyz")))),
    _xlfn.TEXTJOIN("",, _xlpm.filtered)
)</f>
        <v>000796</v>
      </c>
      <c r="B520" s="3" t="s">
        <v>2156</v>
      </c>
      <c r="C520" s="3" t="s">
        <v>2157</v>
      </c>
      <c r="D520" s="4">
        <v>360</v>
      </c>
      <c r="E520" s="3" t="s">
        <v>2158</v>
      </c>
      <c r="F520" s="3" t="s">
        <v>33</v>
      </c>
      <c r="G520" s="3" t="s">
        <v>2159</v>
      </c>
      <c r="H520" s="3" t="s">
        <v>84</v>
      </c>
      <c r="I520" s="3" t="s">
        <v>33</v>
      </c>
      <c r="J520" s="3" t="s">
        <v>119</v>
      </c>
      <c r="K520" s="3" t="s">
        <v>33</v>
      </c>
      <c r="L520" s="3" t="s">
        <v>38</v>
      </c>
      <c r="M520" s="3" t="s">
        <v>33</v>
      </c>
      <c r="N520" s="3" t="s">
        <v>25</v>
      </c>
      <c r="O520" t="str">
        <f>"2025-06-23"</f>
        <v>2025-06-23</v>
      </c>
      <c r="P520" t="str">
        <f>"2026-06-22"</f>
        <v>2026-06-22</v>
      </c>
    </row>
    <row r="521" spans="1:16" x14ac:dyDescent="0.2">
      <c r="A521" t="str" cm="1">
        <f t="array" ref="A521">_xlfn.LET(
    _xlpm.txt, B521,
    _xlpm.chars, MID(_xlpm.txt, _xlfn.SEQUENCE(LEN(_xlpm.txt)), 1),
    _xlpm.filtered, _xlfn._xlws.FILTER(_xlpm.chars, NOT(ISNUMBER(SEARCH(_xlpm.chars, "ABCDEFGHIJKLMNOPQRSTUVWXYZabcdefghijklmnopqrstuvwxyz")))),
    _xlfn.TEXTJOIN("",, _xlpm.filtered)
)</f>
        <v>000798</v>
      </c>
      <c r="B521" s="3" t="s">
        <v>2160</v>
      </c>
      <c r="C521" s="3" t="s">
        <v>2161</v>
      </c>
      <c r="D521" s="4">
        <v>380</v>
      </c>
      <c r="E521" s="3" t="s">
        <v>2162</v>
      </c>
      <c r="F521" s="3" t="s">
        <v>2163</v>
      </c>
      <c r="G521" s="3" t="s">
        <v>2164</v>
      </c>
      <c r="H521" s="3" t="s">
        <v>184</v>
      </c>
      <c r="I521" s="3" t="s">
        <v>33</v>
      </c>
      <c r="J521" s="3" t="s">
        <v>73</v>
      </c>
      <c r="K521" s="3" t="s">
        <v>2124</v>
      </c>
      <c r="L521" s="3" t="s">
        <v>38</v>
      </c>
      <c r="M521" s="3" t="s">
        <v>33</v>
      </c>
      <c r="N521" s="3" t="s">
        <v>25</v>
      </c>
      <c r="O521" t="str">
        <f>"2025-07-01"</f>
        <v>2025-07-01</v>
      </c>
      <c r="P521" t="str">
        <f>"2026-06-30"</f>
        <v>2026-06-30</v>
      </c>
    </row>
    <row r="522" spans="1:16" x14ac:dyDescent="0.2">
      <c r="A522" t="str" cm="1">
        <f t="array" ref="A522">_xlfn.LET(
    _xlpm.txt, B522,
    _xlpm.chars, MID(_xlpm.txt, _xlfn.SEQUENCE(LEN(_xlpm.txt)), 1),
    _xlpm.filtered, _xlfn._xlws.FILTER(_xlpm.chars, NOT(ISNUMBER(SEARCH(_xlpm.chars, "ABCDEFGHIJKLMNOPQRSTUVWXYZabcdefghijklmnopqrstuvwxyz")))),
    _xlfn.TEXTJOIN("",, _xlpm.filtered)
)</f>
        <v>000799</v>
      </c>
      <c r="B522" s="3" t="s">
        <v>2165</v>
      </c>
      <c r="C522" s="3" t="s">
        <v>2166</v>
      </c>
      <c r="D522" s="4">
        <v>150</v>
      </c>
      <c r="E522" s="3" t="s">
        <v>2167</v>
      </c>
      <c r="F522" s="3" t="s">
        <v>33</v>
      </c>
      <c r="G522" s="3" t="s">
        <v>2168</v>
      </c>
      <c r="H522" s="3" t="s">
        <v>1256</v>
      </c>
      <c r="I522" s="3" t="s">
        <v>33</v>
      </c>
      <c r="J522" s="3" t="s">
        <v>36</v>
      </c>
      <c r="K522" s="3" t="s">
        <v>517</v>
      </c>
      <c r="L522" s="3" t="s">
        <v>2016</v>
      </c>
      <c r="M522" s="3" t="s">
        <v>2169</v>
      </c>
      <c r="N522" s="3" t="s">
        <v>25</v>
      </c>
      <c r="O522" t="str">
        <f>"2025-07-01"</f>
        <v>2025-07-01</v>
      </c>
      <c r="P522" t="str">
        <f>"2026-06-30"</f>
        <v>2026-06-30</v>
      </c>
    </row>
    <row r="523" spans="1:16" x14ac:dyDescent="0.2">
      <c r="A523" t="str" cm="1">
        <f t="array" ref="A523">_xlfn.LET(
    _xlpm.txt, B523,
    _xlpm.chars, MID(_xlpm.txt, _xlfn.SEQUENCE(LEN(_xlpm.txt)), 1),
    _xlpm.filtered, _xlfn._xlws.FILTER(_xlpm.chars, NOT(ISNUMBER(SEARCH(_xlpm.chars, "ABCDEFGHIJKLMNOPQRSTUVWXYZabcdefghijklmnopqrstuvwxyz")))),
    _xlfn.TEXTJOIN("",, _xlpm.filtered)
)</f>
        <v>000801</v>
      </c>
      <c r="B523" s="3" t="s">
        <v>2170</v>
      </c>
      <c r="C523" s="3" t="s">
        <v>2171</v>
      </c>
      <c r="D523" s="4">
        <v>300</v>
      </c>
      <c r="E523" s="3" t="s">
        <v>2172</v>
      </c>
      <c r="F523" s="3" t="s">
        <v>33</v>
      </c>
      <c r="G523" s="3" t="s">
        <v>2173</v>
      </c>
      <c r="H523" s="3" t="s">
        <v>2174</v>
      </c>
      <c r="I523" s="3" t="s">
        <v>33</v>
      </c>
      <c r="J523" s="3" t="s">
        <v>67</v>
      </c>
      <c r="K523" s="3" t="s">
        <v>2064</v>
      </c>
      <c r="L523" s="3" t="s">
        <v>38</v>
      </c>
      <c r="M523" s="3" t="s">
        <v>33</v>
      </c>
      <c r="N523" s="3" t="s">
        <v>25</v>
      </c>
      <c r="O523" t="str">
        <f>"2026-07-11"</f>
        <v>2026-07-11</v>
      </c>
      <c r="P523" t="str">
        <f>"2028-07-10"</f>
        <v>2028-07-10</v>
      </c>
    </row>
    <row r="524" spans="1:16" x14ac:dyDescent="0.2">
      <c r="A524" t="str" cm="1">
        <f t="array" ref="A524">_xlfn.LET(
    _xlpm.txt, B524,
    _xlpm.chars, MID(_xlpm.txt, _xlfn.SEQUENCE(LEN(_xlpm.txt)), 1),
    _xlpm.filtered, _xlfn._xlws.FILTER(_xlpm.chars, NOT(ISNUMBER(SEARCH(_xlpm.chars, "ABCDEFGHIJKLMNOPQRSTUVWXYZabcdefghijklmnopqrstuvwxyz")))),
    _xlfn.TEXTJOIN("",, _xlpm.filtered)
)</f>
        <v>000802</v>
      </c>
      <c r="B524" s="3" t="s">
        <v>2175</v>
      </c>
      <c r="C524" s="3" t="s">
        <v>2176</v>
      </c>
      <c r="D524" s="4">
        <v>150</v>
      </c>
      <c r="E524" s="3" t="s">
        <v>2177</v>
      </c>
      <c r="F524" s="3" t="s">
        <v>33</v>
      </c>
      <c r="G524" s="3" t="s">
        <v>2178</v>
      </c>
      <c r="H524" s="3" t="s">
        <v>623</v>
      </c>
      <c r="I524" s="3" t="s">
        <v>33</v>
      </c>
      <c r="J524" s="3" t="s">
        <v>36</v>
      </c>
      <c r="K524" s="3" t="s">
        <v>2124</v>
      </c>
      <c r="L524" s="3" t="s">
        <v>38</v>
      </c>
      <c r="M524" s="3" t="s">
        <v>2179</v>
      </c>
      <c r="N524" s="3" t="s">
        <v>25</v>
      </c>
      <c r="O524" t="str">
        <f>"2025-07-15"</f>
        <v>2025-07-15</v>
      </c>
      <c r="P524" t="str">
        <f>"2026-07-14"</f>
        <v>2026-07-14</v>
      </c>
    </row>
    <row r="525" spans="1:16" x14ac:dyDescent="0.2">
      <c r="A525" t="str" cm="1">
        <f t="array" ref="A525">_xlfn.LET(
    _xlpm.txt, B525,
    _xlpm.chars, MID(_xlpm.txt, _xlfn.SEQUENCE(LEN(_xlpm.txt)), 1),
    _xlpm.filtered, _xlfn._xlws.FILTER(_xlpm.chars, NOT(ISNUMBER(SEARCH(_xlpm.chars, "ABCDEFGHIJKLMNOPQRSTUVWXYZabcdefghijklmnopqrstuvwxyz")))),
    _xlfn.TEXTJOIN("",, _xlpm.filtered)
)</f>
        <v>000803</v>
      </c>
      <c r="B525" s="3" t="s">
        <v>2180</v>
      </c>
      <c r="C525" s="3" t="s">
        <v>45</v>
      </c>
      <c r="D525" s="4">
        <v>150</v>
      </c>
      <c r="E525" s="3" t="s">
        <v>42</v>
      </c>
      <c r="F525" s="3" t="s">
        <v>33</v>
      </c>
      <c r="G525" s="3" t="s">
        <v>2181</v>
      </c>
      <c r="H525" s="3" t="s">
        <v>84</v>
      </c>
      <c r="I525" s="3" t="s">
        <v>33</v>
      </c>
      <c r="J525" s="3" t="s">
        <v>73</v>
      </c>
      <c r="K525" s="3" t="s">
        <v>2182</v>
      </c>
      <c r="L525" s="3" t="s">
        <v>23</v>
      </c>
      <c r="M525" s="3" t="s">
        <v>24</v>
      </c>
      <c r="N525" s="3" t="s">
        <v>25</v>
      </c>
      <c r="O525" t="str">
        <f>"2024-08-01"</f>
        <v>2024-08-01</v>
      </c>
      <c r="P525" t="str">
        <f>"2025-07-31"</f>
        <v>2025-07-31</v>
      </c>
    </row>
    <row r="526" spans="1:16" x14ac:dyDescent="0.2">
      <c r="A526" t="str" cm="1">
        <f t="array" ref="A526">_xlfn.LET(
    _xlpm.txt, B526,
    _xlpm.chars, MID(_xlpm.txt, _xlfn.SEQUENCE(LEN(_xlpm.txt)), 1),
    _xlpm.filtered, _xlfn._xlws.FILTER(_xlpm.chars, NOT(ISNUMBER(SEARCH(_xlpm.chars, "ABCDEFGHIJKLMNOPQRSTUVWXYZabcdefghijklmnopqrstuvwxyz")))),
    _xlfn.TEXTJOIN("",, _xlpm.filtered)
)</f>
        <v>000804</v>
      </c>
      <c r="B526" s="3" t="s">
        <v>2183</v>
      </c>
      <c r="C526" s="3" t="s">
        <v>2184</v>
      </c>
      <c r="D526" s="4">
        <v>180</v>
      </c>
      <c r="E526" s="3" t="s">
        <v>2185</v>
      </c>
      <c r="F526" s="3" t="s">
        <v>2186</v>
      </c>
      <c r="G526" s="3" t="s">
        <v>2187</v>
      </c>
      <c r="H526" s="3" t="s">
        <v>1520</v>
      </c>
      <c r="I526" s="3" t="s">
        <v>33</v>
      </c>
      <c r="J526" s="3" t="s">
        <v>511</v>
      </c>
      <c r="K526" s="3" t="s">
        <v>2124</v>
      </c>
      <c r="L526" s="3" t="s">
        <v>174</v>
      </c>
      <c r="M526" s="3" t="s">
        <v>185</v>
      </c>
      <c r="N526" s="3" t="s">
        <v>25</v>
      </c>
      <c r="O526" t="str">
        <f>"2025-07-25"</f>
        <v>2025-07-25</v>
      </c>
      <c r="P526" t="str">
        <f>"2026-07-24"</f>
        <v>2026-07-24</v>
      </c>
    </row>
    <row r="527" spans="1:16" x14ac:dyDescent="0.2">
      <c r="A527" t="str" cm="1">
        <f t="array" ref="A527">_xlfn.LET(
    _xlpm.txt, B527,
    _xlpm.chars, MID(_xlpm.txt, _xlfn.SEQUENCE(LEN(_xlpm.txt)), 1),
    _xlpm.filtered, _xlfn._xlws.FILTER(_xlpm.chars, NOT(ISNUMBER(SEARCH(_xlpm.chars, "ABCDEFGHIJKLMNOPQRSTUVWXYZabcdefghijklmnopqrstuvwxyz")))),
    _xlfn.TEXTJOIN("",, _xlpm.filtered)
)</f>
        <v>000806</v>
      </c>
      <c r="B527" s="3" t="s">
        <v>2188</v>
      </c>
      <c r="C527" s="3" t="s">
        <v>2189</v>
      </c>
      <c r="D527" s="4">
        <v>0</v>
      </c>
      <c r="E527" s="3" t="s">
        <v>2190</v>
      </c>
      <c r="F527" s="3" t="s">
        <v>33</v>
      </c>
      <c r="G527" s="3" t="s">
        <v>2191</v>
      </c>
      <c r="H527" s="3" t="s">
        <v>2192</v>
      </c>
      <c r="I527" s="3" t="s">
        <v>33</v>
      </c>
      <c r="J527" s="3" t="s">
        <v>36</v>
      </c>
      <c r="K527" s="3" t="s">
        <v>2124</v>
      </c>
      <c r="L527" s="3" t="s">
        <v>33</v>
      </c>
      <c r="M527" s="3" t="s">
        <v>2017</v>
      </c>
      <c r="N527" s="3" t="s">
        <v>273</v>
      </c>
      <c r="O527" t="str">
        <f>"2024-07-16"</f>
        <v>2024-07-16</v>
      </c>
      <c r="P527" t="str">
        <f>"2026-01-15"</f>
        <v>2026-01-15</v>
      </c>
    </row>
    <row r="528" spans="1:16" x14ac:dyDescent="0.2">
      <c r="A528" t="str" cm="1">
        <f t="array" ref="A528">_xlfn.LET(
    _xlpm.txt, B528,
    _xlpm.chars, MID(_xlpm.txt, _xlfn.SEQUENCE(LEN(_xlpm.txt)), 1),
    _xlpm.filtered, _xlfn._xlws.FILTER(_xlpm.chars, NOT(ISNUMBER(SEARCH(_xlpm.chars, "ABCDEFGHIJKLMNOPQRSTUVWXYZabcdefghijklmnopqrstuvwxyz")))),
    _xlfn.TEXTJOIN("",, _xlpm.filtered)
)</f>
        <v>000807</v>
      </c>
      <c r="B528" s="3" t="s">
        <v>2193</v>
      </c>
      <c r="C528" s="3" t="s">
        <v>2194</v>
      </c>
      <c r="D528" s="4">
        <v>150</v>
      </c>
      <c r="E528" s="3" t="s">
        <v>839</v>
      </c>
      <c r="F528" s="3" t="s">
        <v>33</v>
      </c>
      <c r="G528" s="3" t="s">
        <v>2195</v>
      </c>
      <c r="H528" s="3" t="s">
        <v>1503</v>
      </c>
      <c r="I528" s="3" t="s">
        <v>33</v>
      </c>
      <c r="J528" s="3" t="s">
        <v>67</v>
      </c>
      <c r="K528" s="3" t="s">
        <v>271</v>
      </c>
      <c r="L528" s="3" t="s">
        <v>2196</v>
      </c>
      <c r="M528" s="3" t="s">
        <v>2197</v>
      </c>
      <c r="N528" s="3" t="s">
        <v>25</v>
      </c>
      <c r="O528" t="str">
        <f>"2025-07-24"</f>
        <v>2025-07-24</v>
      </c>
      <c r="P528" t="str">
        <f>"2026-07-23"</f>
        <v>2026-07-23</v>
      </c>
    </row>
    <row r="529" spans="1:16" x14ac:dyDescent="0.2">
      <c r="A529" t="str" cm="1">
        <f t="array" ref="A529">_xlfn.LET(
    _xlpm.txt, B529,
    _xlpm.chars, MID(_xlpm.txt, _xlfn.SEQUENCE(LEN(_xlpm.txt)), 1),
    _xlpm.filtered, _xlfn._xlws.FILTER(_xlpm.chars, NOT(ISNUMBER(SEARCH(_xlpm.chars, "ABCDEFGHIJKLMNOPQRSTUVWXYZabcdefghijklmnopqrstuvwxyz")))),
    _xlfn.TEXTJOIN("",, _xlpm.filtered)
)</f>
        <v>000808</v>
      </c>
      <c r="B529" s="3" t="s">
        <v>2198</v>
      </c>
      <c r="C529" s="3" t="s">
        <v>2199</v>
      </c>
      <c r="D529" s="4">
        <v>180</v>
      </c>
      <c r="E529" s="3" t="s">
        <v>56</v>
      </c>
      <c r="F529" s="3" t="s">
        <v>2200</v>
      </c>
      <c r="G529" s="3" t="s">
        <v>2201</v>
      </c>
      <c r="H529" s="3" t="s">
        <v>84</v>
      </c>
      <c r="I529" s="3" t="s">
        <v>33</v>
      </c>
      <c r="J529" s="3" t="s">
        <v>73</v>
      </c>
      <c r="K529" s="3" t="s">
        <v>2124</v>
      </c>
      <c r="L529" s="3" t="s">
        <v>38</v>
      </c>
      <c r="M529" s="3" t="s">
        <v>2011</v>
      </c>
      <c r="N529" s="3" t="s">
        <v>25</v>
      </c>
      <c r="O529" t="str">
        <f>"2025-01-01"</f>
        <v>2025-01-01</v>
      </c>
      <c r="P529" t="str">
        <f>"2025-12-31"</f>
        <v>2025-12-31</v>
      </c>
    </row>
    <row r="530" spans="1:16" x14ac:dyDescent="0.2">
      <c r="A530" t="str" cm="1">
        <f t="array" ref="A530">_xlfn.LET(
    _xlpm.txt, B530,
    _xlpm.chars, MID(_xlpm.txt, _xlfn.SEQUENCE(LEN(_xlpm.txt)), 1),
    _xlpm.filtered, _xlfn._xlws.FILTER(_xlpm.chars, NOT(ISNUMBER(SEARCH(_xlpm.chars, "ABCDEFGHIJKLMNOPQRSTUVWXYZabcdefghijklmnopqrstuvwxyz")))),
    _xlfn.TEXTJOIN("",, _xlpm.filtered)
)</f>
        <v>000809</v>
      </c>
      <c r="B530" s="3" t="s">
        <v>2202</v>
      </c>
      <c r="C530" s="3" t="s">
        <v>257</v>
      </c>
      <c r="D530" s="4">
        <v>150</v>
      </c>
      <c r="E530" s="3" t="s">
        <v>258</v>
      </c>
      <c r="F530" s="3" t="s">
        <v>33</v>
      </c>
      <c r="G530" s="3" t="s">
        <v>2203</v>
      </c>
      <c r="H530" s="3" t="s">
        <v>105</v>
      </c>
      <c r="I530" s="3" t="s">
        <v>33</v>
      </c>
      <c r="J530" s="3" t="s">
        <v>67</v>
      </c>
      <c r="K530" s="3" t="s">
        <v>2124</v>
      </c>
      <c r="L530" s="3" t="s">
        <v>38</v>
      </c>
      <c r="M530" s="3" t="s">
        <v>185</v>
      </c>
      <c r="N530" s="3" t="s">
        <v>25</v>
      </c>
      <c r="O530" t="str">
        <f>"2025-08-01"</f>
        <v>2025-08-01</v>
      </c>
      <c r="P530" t="str">
        <f>"2026-07-31"</f>
        <v>2026-07-31</v>
      </c>
    </row>
    <row r="531" spans="1:16" x14ac:dyDescent="0.2">
      <c r="A531" t="str" cm="1">
        <f t="array" ref="A531">_xlfn.LET(
    _xlpm.txt, B531,
    _xlpm.chars, MID(_xlpm.txt, _xlfn.SEQUENCE(LEN(_xlpm.txt)), 1),
    _xlpm.filtered, _xlfn._xlws.FILTER(_xlpm.chars, NOT(ISNUMBER(SEARCH(_xlpm.chars, "ABCDEFGHIJKLMNOPQRSTUVWXYZabcdefghijklmnopqrstuvwxyz")))),
    _xlfn.TEXTJOIN("",, _xlpm.filtered)
)</f>
        <v>000810</v>
      </c>
      <c r="B531" s="3" t="s">
        <v>2204</v>
      </c>
      <c r="C531" s="3" t="s">
        <v>2205</v>
      </c>
      <c r="D531" s="4">
        <v>150</v>
      </c>
      <c r="E531" s="3" t="s">
        <v>2206</v>
      </c>
      <c r="F531" s="3" t="s">
        <v>33</v>
      </c>
      <c r="G531" s="3" t="s">
        <v>2207</v>
      </c>
      <c r="H531" s="3" t="s">
        <v>98</v>
      </c>
      <c r="I531" s="3" t="s">
        <v>33</v>
      </c>
      <c r="J531" s="3" t="s">
        <v>67</v>
      </c>
      <c r="K531" s="3" t="s">
        <v>517</v>
      </c>
      <c r="L531" s="3" t="s">
        <v>2016</v>
      </c>
      <c r="M531" s="3" t="s">
        <v>2208</v>
      </c>
      <c r="N531" s="3" t="s">
        <v>25</v>
      </c>
      <c r="O531" t="str">
        <f>"2025-07-27"</f>
        <v>2025-07-27</v>
      </c>
      <c r="P531" t="str">
        <f>"2026-07-26"</f>
        <v>2026-07-26</v>
      </c>
    </row>
    <row r="532" spans="1:16" x14ac:dyDescent="0.2">
      <c r="A532" t="str" cm="1">
        <f t="array" ref="A532">_xlfn.LET(
    _xlpm.txt, B532,
    _xlpm.chars, MID(_xlpm.txt, _xlfn.SEQUENCE(LEN(_xlpm.txt)), 1),
    _xlpm.filtered, _xlfn._xlws.FILTER(_xlpm.chars, NOT(ISNUMBER(SEARCH(_xlpm.chars, "ABCDEFGHIJKLMNOPQRSTUVWXYZabcdefghijklmnopqrstuvwxyz")))),
    _xlfn.TEXTJOIN("",, _xlpm.filtered)
)</f>
        <v>000811</v>
      </c>
      <c r="B532" s="3" t="s">
        <v>2209</v>
      </c>
      <c r="C532" s="3" t="s">
        <v>2210</v>
      </c>
      <c r="D532" s="4">
        <v>150</v>
      </c>
      <c r="E532" s="3" t="s">
        <v>2211</v>
      </c>
      <c r="F532" s="3" t="s">
        <v>2212</v>
      </c>
      <c r="G532" s="3" t="s">
        <v>2213</v>
      </c>
      <c r="H532" s="3" t="s">
        <v>354</v>
      </c>
      <c r="I532" s="3" t="s">
        <v>33</v>
      </c>
      <c r="J532" s="3" t="s">
        <v>214</v>
      </c>
      <c r="K532" s="3" t="s">
        <v>37</v>
      </c>
      <c r="L532" s="3" t="s">
        <v>2214</v>
      </c>
      <c r="M532" s="3" t="s">
        <v>2215</v>
      </c>
      <c r="N532" s="3" t="s">
        <v>273</v>
      </c>
      <c r="O532" t="str">
        <f>"2025-08-10"</f>
        <v>2025-08-10</v>
      </c>
      <c r="P532" t="str">
        <f>"2026-08-09"</f>
        <v>2026-08-09</v>
      </c>
    </row>
    <row r="533" spans="1:16" x14ac:dyDescent="0.2">
      <c r="A533" t="str" cm="1">
        <f t="array" ref="A533">_xlfn.LET(
    _xlpm.txt, B533,
    _xlpm.chars, MID(_xlpm.txt, _xlfn.SEQUENCE(LEN(_xlpm.txt)), 1),
    _xlpm.filtered, _xlfn._xlws.FILTER(_xlpm.chars, NOT(ISNUMBER(SEARCH(_xlpm.chars, "ABCDEFGHIJKLMNOPQRSTUVWXYZabcdefghijklmnopqrstuvwxyz")))),
    _xlfn.TEXTJOIN("",, _xlpm.filtered)
)</f>
        <v>000812</v>
      </c>
      <c r="B533" s="3" t="s">
        <v>2216</v>
      </c>
      <c r="C533" s="3" t="s">
        <v>2217</v>
      </c>
      <c r="D533" s="4">
        <v>150</v>
      </c>
      <c r="E533" s="3" t="s">
        <v>2218</v>
      </c>
      <c r="F533" s="3" t="s">
        <v>33</v>
      </c>
      <c r="G533" s="3" t="s">
        <v>2219</v>
      </c>
      <c r="H533" s="3" t="s">
        <v>294</v>
      </c>
      <c r="I533" s="3" t="s">
        <v>33</v>
      </c>
      <c r="J533" s="3" t="s">
        <v>67</v>
      </c>
      <c r="K533" s="3" t="s">
        <v>33</v>
      </c>
      <c r="L533" s="3" t="s">
        <v>38</v>
      </c>
      <c r="M533" s="3" t="s">
        <v>33</v>
      </c>
      <c r="N533" s="3" t="s">
        <v>25</v>
      </c>
      <c r="O533" t="str">
        <f>"2025-08-13"</f>
        <v>2025-08-13</v>
      </c>
      <c r="P533" t="str">
        <f>"2026-08-12"</f>
        <v>2026-08-12</v>
      </c>
    </row>
    <row r="534" spans="1:16" x14ac:dyDescent="0.2">
      <c r="A534" t="str" cm="1">
        <f t="array" ref="A534">_xlfn.LET(
    _xlpm.txt, B534,
    _xlpm.chars, MID(_xlpm.txt, _xlfn.SEQUENCE(LEN(_xlpm.txt)), 1),
    _xlpm.filtered, _xlfn._xlws.FILTER(_xlpm.chars, NOT(ISNUMBER(SEARCH(_xlpm.chars, "ABCDEFGHIJKLMNOPQRSTUVWXYZabcdefghijklmnopqrstuvwxyz")))),
    _xlfn.TEXTJOIN("",, _xlpm.filtered)
)</f>
        <v>000813</v>
      </c>
      <c r="B534" s="3" t="s">
        <v>2220</v>
      </c>
      <c r="C534" s="3" t="s">
        <v>2221</v>
      </c>
      <c r="D534" s="4">
        <v>160</v>
      </c>
      <c r="E534" s="3" t="s">
        <v>2222</v>
      </c>
      <c r="F534" s="3" t="s">
        <v>33</v>
      </c>
      <c r="G534" s="3" t="s">
        <v>2223</v>
      </c>
      <c r="H534" s="3" t="s">
        <v>2224</v>
      </c>
      <c r="I534" s="3" t="s">
        <v>33</v>
      </c>
      <c r="J534" s="3" t="s">
        <v>67</v>
      </c>
      <c r="K534" s="3" t="s">
        <v>37</v>
      </c>
      <c r="L534" s="3" t="s">
        <v>23</v>
      </c>
      <c r="M534" s="3" t="s">
        <v>33</v>
      </c>
      <c r="N534" s="3" t="s">
        <v>25</v>
      </c>
      <c r="O534" t="str">
        <f>"2025-08-14"</f>
        <v>2025-08-14</v>
      </c>
      <c r="P534" t="str">
        <f>"2026-08-13"</f>
        <v>2026-08-13</v>
      </c>
    </row>
    <row r="535" spans="1:16" x14ac:dyDescent="0.2">
      <c r="A535" t="str" cm="1">
        <f t="array" ref="A535">_xlfn.LET(
    _xlpm.txt, B535,
    _xlpm.chars, MID(_xlpm.txt, _xlfn.SEQUENCE(LEN(_xlpm.txt)), 1),
    _xlpm.filtered, _xlfn._xlws.FILTER(_xlpm.chars, NOT(ISNUMBER(SEARCH(_xlpm.chars, "ABCDEFGHIJKLMNOPQRSTUVWXYZabcdefghijklmnopqrstuvwxyz")))),
    _xlfn.TEXTJOIN("",, _xlpm.filtered)
)</f>
        <v>000814</v>
      </c>
      <c r="B535" s="3" t="s">
        <v>2225</v>
      </c>
      <c r="C535" s="3" t="s">
        <v>2226</v>
      </c>
      <c r="D535" s="4">
        <v>100</v>
      </c>
      <c r="E535" s="3" t="s">
        <v>2227</v>
      </c>
      <c r="F535" s="3" t="s">
        <v>33</v>
      </c>
      <c r="G535" s="3" t="s">
        <v>2228</v>
      </c>
      <c r="H535" s="3" t="s">
        <v>202</v>
      </c>
      <c r="I535" s="3" t="s">
        <v>33</v>
      </c>
      <c r="J535" s="3" t="s">
        <v>67</v>
      </c>
      <c r="K535" s="3" t="s">
        <v>37</v>
      </c>
      <c r="L535" s="3" t="s">
        <v>38</v>
      </c>
      <c r="M535" s="3" t="s">
        <v>2011</v>
      </c>
      <c r="N535" s="3" t="s">
        <v>273</v>
      </c>
      <c r="O535" t="str">
        <f>"2024-08-21"</f>
        <v>2024-08-21</v>
      </c>
      <c r="P535" t="str">
        <f>"2025-08-20"</f>
        <v>2025-08-20</v>
      </c>
    </row>
    <row r="536" spans="1:16" x14ac:dyDescent="0.2">
      <c r="A536" t="str" cm="1">
        <f t="array" ref="A536">_xlfn.LET(
    _xlpm.txt, B536,
    _xlpm.chars, MID(_xlpm.txt, _xlfn.SEQUENCE(LEN(_xlpm.txt)), 1),
    _xlpm.filtered, _xlfn._xlws.FILTER(_xlpm.chars, NOT(ISNUMBER(SEARCH(_xlpm.chars, "ABCDEFGHIJKLMNOPQRSTUVWXYZabcdefghijklmnopqrstuvwxyz")))),
    _xlfn.TEXTJOIN("",, _xlpm.filtered)
)</f>
        <v>000815</v>
      </c>
      <c r="B536" s="3" t="s">
        <v>2229</v>
      </c>
      <c r="C536" s="3" t="s">
        <v>2230</v>
      </c>
      <c r="D536" s="4">
        <v>360</v>
      </c>
      <c r="E536" s="3" t="s">
        <v>33</v>
      </c>
      <c r="F536" s="3" t="s">
        <v>33</v>
      </c>
      <c r="G536" s="3" t="s">
        <v>2231</v>
      </c>
      <c r="H536" s="3" t="s">
        <v>59</v>
      </c>
      <c r="I536" s="3" t="s">
        <v>33</v>
      </c>
      <c r="J536" s="3" t="s">
        <v>21</v>
      </c>
      <c r="K536" s="3" t="s">
        <v>22</v>
      </c>
      <c r="L536" s="3" t="s">
        <v>38</v>
      </c>
      <c r="M536" s="3" t="s">
        <v>33</v>
      </c>
      <c r="N536" s="3" t="s">
        <v>25</v>
      </c>
      <c r="O536" t="str">
        <f>"2025-08-24"</f>
        <v>2025-08-24</v>
      </c>
      <c r="P536" t="str">
        <f>"2026-08-23"</f>
        <v>2026-08-23</v>
      </c>
    </row>
    <row r="537" spans="1:16" x14ac:dyDescent="0.2">
      <c r="A537" t="str" cm="1">
        <f t="array" ref="A537">_xlfn.LET(
    _xlpm.txt, B537,
    _xlpm.chars, MID(_xlpm.txt, _xlfn.SEQUENCE(LEN(_xlpm.txt)), 1),
    _xlpm.filtered, _xlfn._xlws.FILTER(_xlpm.chars, NOT(ISNUMBER(SEARCH(_xlpm.chars, "ABCDEFGHIJKLMNOPQRSTUVWXYZabcdefghijklmnopqrstuvwxyz")))),
    _xlfn.TEXTJOIN("",, _xlpm.filtered)
)</f>
        <v>000817</v>
      </c>
      <c r="B537" s="3" t="s">
        <v>2232</v>
      </c>
      <c r="C537" s="3" t="s">
        <v>2233</v>
      </c>
      <c r="D537" s="4">
        <v>140</v>
      </c>
      <c r="E537" s="3" t="s">
        <v>2234</v>
      </c>
      <c r="F537" s="3" t="s">
        <v>33</v>
      </c>
      <c r="G537" s="3" t="s">
        <v>2235</v>
      </c>
      <c r="H537" s="3" t="s">
        <v>1612</v>
      </c>
      <c r="I537" s="3" t="s">
        <v>33</v>
      </c>
      <c r="J537" s="3" t="s">
        <v>67</v>
      </c>
      <c r="K537" s="3" t="s">
        <v>2124</v>
      </c>
      <c r="L537" s="3" t="s">
        <v>38</v>
      </c>
      <c r="M537" s="3" t="s">
        <v>2029</v>
      </c>
      <c r="N537" s="3" t="s">
        <v>25</v>
      </c>
      <c r="O537" t="str">
        <f>"2024-09-04"</f>
        <v>2024-09-04</v>
      </c>
      <c r="P537" t="str">
        <f>"2025-09-03"</f>
        <v>2025-09-03</v>
      </c>
    </row>
    <row r="538" spans="1:16" x14ac:dyDescent="0.2">
      <c r="A538" t="str" cm="1">
        <f t="array" ref="A538">_xlfn.LET(
    _xlpm.txt, B538,
    _xlpm.chars, MID(_xlpm.txt, _xlfn.SEQUENCE(LEN(_xlpm.txt)), 1),
    _xlpm.filtered, _xlfn._xlws.FILTER(_xlpm.chars, NOT(ISNUMBER(SEARCH(_xlpm.chars, "ABCDEFGHIJKLMNOPQRSTUVWXYZabcdefghijklmnopqrstuvwxyz")))),
    _xlfn.TEXTJOIN("",, _xlpm.filtered)
)</f>
        <v>000820</v>
      </c>
      <c r="B538" s="3" t="s">
        <v>2236</v>
      </c>
      <c r="C538" s="3" t="s">
        <v>2237</v>
      </c>
      <c r="D538" s="4">
        <v>225</v>
      </c>
      <c r="E538" s="3" t="s">
        <v>2238</v>
      </c>
      <c r="F538" s="3" t="s">
        <v>33</v>
      </c>
      <c r="G538" s="3" t="s">
        <v>2239</v>
      </c>
      <c r="H538" s="3" t="s">
        <v>1919</v>
      </c>
      <c r="I538" s="3" t="s">
        <v>33</v>
      </c>
      <c r="J538" s="3" t="s">
        <v>511</v>
      </c>
      <c r="K538" s="3" t="s">
        <v>33</v>
      </c>
      <c r="L538" s="3" t="s">
        <v>296</v>
      </c>
      <c r="M538" s="3" t="s">
        <v>296</v>
      </c>
      <c r="N538" s="3" t="s">
        <v>25</v>
      </c>
      <c r="O538" t="str">
        <f>"2024-09-18"</f>
        <v>2024-09-18</v>
      </c>
      <c r="P538" t="str">
        <f>"2025-09-17"</f>
        <v>2025-09-17</v>
      </c>
    </row>
    <row r="539" spans="1:16" x14ac:dyDescent="0.2">
      <c r="A539" t="str" cm="1">
        <f t="array" ref="A539">_xlfn.LET(
    _xlpm.txt, B539,
    _xlpm.chars, MID(_xlpm.txt, _xlfn.SEQUENCE(LEN(_xlpm.txt)), 1),
    _xlpm.filtered, _xlfn._xlws.FILTER(_xlpm.chars, NOT(ISNUMBER(SEARCH(_xlpm.chars, "ABCDEFGHIJKLMNOPQRSTUVWXYZabcdefghijklmnopqrstuvwxyz")))),
    _xlfn.TEXTJOIN("",, _xlpm.filtered)
)</f>
        <v>000821</v>
      </c>
      <c r="B539" s="3" t="s">
        <v>2240</v>
      </c>
      <c r="C539" s="3" t="s">
        <v>2241</v>
      </c>
      <c r="D539" s="4">
        <v>99</v>
      </c>
      <c r="E539" s="3" t="s">
        <v>2242</v>
      </c>
      <c r="F539" s="3" t="s">
        <v>33</v>
      </c>
      <c r="G539" s="3" t="s">
        <v>2243</v>
      </c>
      <c r="H539" s="3" t="s">
        <v>665</v>
      </c>
      <c r="I539" s="3" t="s">
        <v>33</v>
      </c>
      <c r="J539" s="3" t="s">
        <v>67</v>
      </c>
      <c r="K539" s="3" t="s">
        <v>37</v>
      </c>
      <c r="L539" s="3" t="s">
        <v>38</v>
      </c>
      <c r="M539" s="3" t="s">
        <v>33</v>
      </c>
      <c r="N539" s="3" t="s">
        <v>273</v>
      </c>
      <c r="O539" t="str">
        <f>"2025-09-18"</f>
        <v>2025-09-18</v>
      </c>
      <c r="P539" t="str">
        <f>"2026-09-17"</f>
        <v>2026-09-17</v>
      </c>
    </row>
    <row r="540" spans="1:16" x14ac:dyDescent="0.2">
      <c r="A540" t="str" cm="1">
        <f t="array" ref="A540">_xlfn.LET(
    _xlpm.txt, B540,
    _xlpm.chars, MID(_xlpm.txt, _xlfn.SEQUENCE(LEN(_xlpm.txt)), 1),
    _xlpm.filtered, _xlfn._xlws.FILTER(_xlpm.chars, NOT(ISNUMBER(SEARCH(_xlpm.chars, "ABCDEFGHIJKLMNOPQRSTUVWXYZabcdefghijklmnopqrstuvwxyz")))),
    _xlfn.TEXTJOIN("",, _xlpm.filtered)
)</f>
        <v>000822</v>
      </c>
      <c r="B540" s="3" t="s">
        <v>2244</v>
      </c>
      <c r="C540" s="3" t="s">
        <v>1630</v>
      </c>
      <c r="D540" s="4">
        <v>306</v>
      </c>
      <c r="E540" s="3" t="s">
        <v>2245</v>
      </c>
      <c r="F540" s="3" t="s">
        <v>2246</v>
      </c>
      <c r="G540" s="3" t="s">
        <v>2247</v>
      </c>
      <c r="H540" s="3" t="s">
        <v>184</v>
      </c>
      <c r="I540" s="3" t="s">
        <v>33</v>
      </c>
      <c r="J540" s="3" t="s">
        <v>73</v>
      </c>
      <c r="K540" s="3" t="s">
        <v>33</v>
      </c>
      <c r="L540" s="3" t="s">
        <v>38</v>
      </c>
      <c r="M540" s="3" t="s">
        <v>33</v>
      </c>
      <c r="N540" s="3" t="s">
        <v>25</v>
      </c>
      <c r="O540" t="str">
        <f>"2024-09-06"</f>
        <v>2024-09-06</v>
      </c>
      <c r="P540" t="str">
        <f>"2026-09-05"</f>
        <v>2026-09-05</v>
      </c>
    </row>
    <row r="541" spans="1:16" x14ac:dyDescent="0.2">
      <c r="A541" t="str" cm="1">
        <f t="array" ref="A541">_xlfn.LET(
    _xlpm.txt, B541,
    _xlpm.chars, MID(_xlpm.txt, _xlfn.SEQUENCE(LEN(_xlpm.txt)), 1),
    _xlpm.filtered, _xlfn._xlws.FILTER(_xlpm.chars, NOT(ISNUMBER(SEARCH(_xlpm.chars, "ABCDEFGHIJKLMNOPQRSTUVWXYZabcdefghijklmnopqrstuvwxyz")))),
    _xlfn.TEXTJOIN("",, _xlpm.filtered)
)</f>
        <v>000823</v>
      </c>
      <c r="B541" s="3" t="s">
        <v>2248</v>
      </c>
      <c r="C541" s="3" t="s">
        <v>2249</v>
      </c>
      <c r="D541" s="4">
        <v>150</v>
      </c>
      <c r="E541" s="3" t="s">
        <v>2250</v>
      </c>
      <c r="F541" s="3" t="s">
        <v>33</v>
      </c>
      <c r="G541" s="3" t="s">
        <v>2251</v>
      </c>
      <c r="H541" s="3" t="s">
        <v>1256</v>
      </c>
      <c r="I541" s="3" t="s">
        <v>33</v>
      </c>
      <c r="J541" s="3" t="s">
        <v>67</v>
      </c>
      <c r="K541" s="3" t="s">
        <v>37</v>
      </c>
      <c r="L541" s="3" t="s">
        <v>38</v>
      </c>
      <c r="M541" s="3" t="s">
        <v>33</v>
      </c>
      <c r="N541" s="3" t="s">
        <v>25</v>
      </c>
      <c r="O541" t="str">
        <f>"2024-09-24"</f>
        <v>2024-09-24</v>
      </c>
      <c r="P541" t="str">
        <f>"2025-09-23"</f>
        <v>2025-09-23</v>
      </c>
    </row>
    <row r="542" spans="1:16" x14ac:dyDescent="0.2">
      <c r="A542" t="str" cm="1">
        <f t="array" ref="A542">_xlfn.LET(
    _xlpm.txt, B542,
    _xlpm.chars, MID(_xlpm.txt, _xlfn.SEQUENCE(LEN(_xlpm.txt)), 1),
    _xlpm.filtered, _xlfn._xlws.FILTER(_xlpm.chars, NOT(ISNUMBER(SEARCH(_xlpm.chars, "ABCDEFGHIJKLMNOPQRSTUVWXYZabcdefghijklmnopqrstuvwxyz")))),
    _xlfn.TEXTJOIN("",, _xlpm.filtered)
)</f>
        <v>000824</v>
      </c>
      <c r="B542" s="3" t="s">
        <v>2252</v>
      </c>
      <c r="C542" s="3" t="s">
        <v>2253</v>
      </c>
      <c r="D542" s="4">
        <v>600</v>
      </c>
      <c r="E542" s="3" t="s">
        <v>2254</v>
      </c>
      <c r="F542" s="3" t="s">
        <v>2255</v>
      </c>
      <c r="G542" s="3" t="s">
        <v>2256</v>
      </c>
      <c r="H542" s="3" t="s">
        <v>824</v>
      </c>
      <c r="I542" s="3" t="s">
        <v>33</v>
      </c>
      <c r="J542" s="3" t="s">
        <v>229</v>
      </c>
      <c r="K542" s="3" t="s">
        <v>37</v>
      </c>
      <c r="L542" s="3" t="s">
        <v>271</v>
      </c>
      <c r="M542" s="3" t="s">
        <v>33</v>
      </c>
      <c r="N542" s="3" t="s">
        <v>25</v>
      </c>
      <c r="O542" t="str">
        <f>"2025-10-01"</f>
        <v>2025-10-01</v>
      </c>
      <c r="P542" t="str">
        <f>"2026-09-30"</f>
        <v>2026-09-30</v>
      </c>
    </row>
    <row r="543" spans="1:16" x14ac:dyDescent="0.2">
      <c r="A543" t="str" cm="1">
        <f t="array" ref="A543">_xlfn.LET(
    _xlpm.txt, B543,
    _xlpm.chars, MID(_xlpm.txt, _xlfn.SEQUENCE(LEN(_xlpm.txt)), 1),
    _xlpm.filtered, _xlfn._xlws.FILTER(_xlpm.chars, NOT(ISNUMBER(SEARCH(_xlpm.chars, "ABCDEFGHIJKLMNOPQRSTUVWXYZabcdefghijklmnopqrstuvwxyz")))),
    _xlfn.TEXTJOIN("",, _xlpm.filtered)
)</f>
        <v>000825</v>
      </c>
      <c r="B543" s="3" t="s">
        <v>2257</v>
      </c>
      <c r="C543" s="3" t="s">
        <v>2253</v>
      </c>
      <c r="D543" s="4">
        <v>400</v>
      </c>
      <c r="E543" s="3" t="s">
        <v>2254</v>
      </c>
      <c r="F543" s="3" t="s">
        <v>2258</v>
      </c>
      <c r="G543" s="3" t="s">
        <v>2259</v>
      </c>
      <c r="H543" s="3" t="s">
        <v>132</v>
      </c>
      <c r="I543" s="3" t="s">
        <v>33</v>
      </c>
      <c r="J543" s="3" t="s">
        <v>21</v>
      </c>
      <c r="K543" s="3" t="s">
        <v>2064</v>
      </c>
      <c r="L543" s="3" t="s">
        <v>38</v>
      </c>
      <c r="M543" s="3" t="s">
        <v>33</v>
      </c>
      <c r="N543" s="3" t="s">
        <v>25</v>
      </c>
      <c r="O543" t="str">
        <f>"2025-10-01"</f>
        <v>2025-10-01</v>
      </c>
      <c r="P543" t="str">
        <f>"2026-09-30"</f>
        <v>2026-09-30</v>
      </c>
    </row>
    <row r="544" spans="1:16" x14ac:dyDescent="0.2">
      <c r="A544" t="str" cm="1">
        <f t="array" ref="A544">_xlfn.LET(
    _xlpm.txt, B544,
    _xlpm.chars, MID(_xlpm.txt, _xlfn.SEQUENCE(LEN(_xlpm.txt)), 1),
    _xlpm.filtered, _xlfn._xlws.FILTER(_xlpm.chars, NOT(ISNUMBER(SEARCH(_xlpm.chars, "ABCDEFGHIJKLMNOPQRSTUVWXYZabcdefghijklmnopqrstuvwxyz")))),
    _xlfn.TEXTJOIN("",, _xlpm.filtered)
)</f>
        <v>000826</v>
      </c>
      <c r="B544" s="3" t="s">
        <v>2260</v>
      </c>
      <c r="C544" s="3" t="s">
        <v>2261</v>
      </c>
      <c r="D544" s="4">
        <v>120</v>
      </c>
      <c r="E544" s="3" t="s">
        <v>2262</v>
      </c>
      <c r="F544" s="3" t="s">
        <v>33</v>
      </c>
      <c r="G544" s="3" t="s">
        <v>2263</v>
      </c>
      <c r="H544" s="3" t="s">
        <v>125</v>
      </c>
      <c r="I544" s="3" t="s">
        <v>33</v>
      </c>
      <c r="J544" s="3" t="s">
        <v>67</v>
      </c>
      <c r="K544" s="3" t="s">
        <v>33</v>
      </c>
      <c r="L544" s="3" t="s">
        <v>38</v>
      </c>
      <c r="M544" s="3" t="s">
        <v>33</v>
      </c>
      <c r="N544" s="3" t="s">
        <v>273</v>
      </c>
      <c r="O544" t="str">
        <f>"2025-10-01"</f>
        <v>2025-10-01</v>
      </c>
      <c r="P544" t="str">
        <f>"2026-09-30"</f>
        <v>2026-09-30</v>
      </c>
    </row>
    <row r="545" spans="1:16" x14ac:dyDescent="0.2">
      <c r="A545" t="str" cm="1">
        <f t="array" ref="A545">_xlfn.LET(
    _xlpm.txt, B545,
    _xlpm.chars, MID(_xlpm.txt, _xlfn.SEQUENCE(LEN(_xlpm.txt)), 1),
    _xlpm.filtered, _xlfn._xlws.FILTER(_xlpm.chars, NOT(ISNUMBER(SEARCH(_xlpm.chars, "ABCDEFGHIJKLMNOPQRSTUVWXYZabcdefghijklmnopqrstuvwxyz")))),
    _xlfn.TEXTJOIN("",, _xlpm.filtered)
)</f>
        <v>000827</v>
      </c>
      <c r="B545" s="3" t="s">
        <v>2264</v>
      </c>
      <c r="C545" s="3" t="s">
        <v>761</v>
      </c>
      <c r="D545" s="4">
        <v>600</v>
      </c>
      <c r="E545" s="3" t="s">
        <v>762</v>
      </c>
      <c r="F545" s="3" t="s">
        <v>2265</v>
      </c>
      <c r="G545" s="3" t="s">
        <v>2266</v>
      </c>
      <c r="H545" s="3" t="s">
        <v>184</v>
      </c>
      <c r="I545" s="3" t="s">
        <v>33</v>
      </c>
      <c r="J545" s="3" t="s">
        <v>119</v>
      </c>
      <c r="K545" s="3" t="s">
        <v>499</v>
      </c>
      <c r="L545" s="3" t="s">
        <v>499</v>
      </c>
      <c r="M545" s="3" t="s">
        <v>499</v>
      </c>
      <c r="N545" s="3" t="s">
        <v>25</v>
      </c>
      <c r="O545" t="str">
        <f>"2024-10-01"</f>
        <v>2024-10-01</v>
      </c>
      <c r="P545" t="str">
        <f>"2025-09-30"</f>
        <v>2025-09-30</v>
      </c>
    </row>
    <row r="546" spans="1:16" x14ac:dyDescent="0.2">
      <c r="A546" t="str" cm="1">
        <f t="array" ref="A546">_xlfn.LET(
    _xlpm.txt, B546,
    _xlpm.chars, MID(_xlpm.txt, _xlfn.SEQUENCE(LEN(_xlpm.txt)), 1),
    _xlpm.filtered, _xlfn._xlws.FILTER(_xlpm.chars, NOT(ISNUMBER(SEARCH(_xlpm.chars, "ABCDEFGHIJKLMNOPQRSTUVWXYZabcdefghijklmnopqrstuvwxyz")))),
    _xlfn.TEXTJOIN("",, _xlpm.filtered)
)</f>
        <v>000829</v>
      </c>
      <c r="B546" s="3" t="s">
        <v>2267</v>
      </c>
      <c r="C546" s="3" t="s">
        <v>2268</v>
      </c>
      <c r="D546" s="4">
        <v>140</v>
      </c>
      <c r="E546" s="3" t="s">
        <v>2269</v>
      </c>
      <c r="F546" s="3" t="s">
        <v>33</v>
      </c>
      <c r="G546" s="3" t="s">
        <v>2270</v>
      </c>
      <c r="H546" s="3" t="s">
        <v>991</v>
      </c>
      <c r="I546" s="3" t="s">
        <v>33</v>
      </c>
      <c r="J546" s="3" t="s">
        <v>36</v>
      </c>
      <c r="K546" s="3" t="s">
        <v>2064</v>
      </c>
      <c r="L546" s="3" t="s">
        <v>38</v>
      </c>
      <c r="M546" s="3" t="s">
        <v>33</v>
      </c>
      <c r="N546" s="3" t="s">
        <v>273</v>
      </c>
      <c r="O546" t="str">
        <f>"2024-11-01"</f>
        <v>2024-11-01</v>
      </c>
      <c r="P546" t="str">
        <f>"2025-10-31"</f>
        <v>2025-10-31</v>
      </c>
    </row>
    <row r="547" spans="1:16" x14ac:dyDescent="0.2">
      <c r="A547" t="str" cm="1">
        <f t="array" ref="A547">_xlfn.LET(
    _xlpm.txt, B547,
    _xlpm.chars, MID(_xlpm.txt, _xlfn.SEQUENCE(LEN(_xlpm.txt)), 1),
    _xlpm.filtered, _xlfn._xlws.FILTER(_xlpm.chars, NOT(ISNUMBER(SEARCH(_xlpm.chars, "ABCDEFGHIJKLMNOPQRSTUVWXYZabcdefghijklmnopqrstuvwxyz")))),
    _xlfn.TEXTJOIN("",, _xlpm.filtered)
)</f>
        <v>000830</v>
      </c>
      <c r="B547" s="3" t="s">
        <v>2271</v>
      </c>
      <c r="C547" s="3" t="s">
        <v>2272</v>
      </c>
      <c r="D547" s="4">
        <v>360</v>
      </c>
      <c r="E547" s="3" t="s">
        <v>2273</v>
      </c>
      <c r="F547" s="3" t="s">
        <v>33</v>
      </c>
      <c r="G547" s="3" t="s">
        <v>2274</v>
      </c>
      <c r="H547" s="3" t="s">
        <v>84</v>
      </c>
      <c r="I547" s="3" t="s">
        <v>33</v>
      </c>
      <c r="J547" s="3" t="s">
        <v>119</v>
      </c>
      <c r="K547" s="3" t="s">
        <v>2064</v>
      </c>
      <c r="L547" s="3" t="s">
        <v>38</v>
      </c>
      <c r="M547" s="3" t="s">
        <v>33</v>
      </c>
      <c r="N547" s="3" t="s">
        <v>25</v>
      </c>
      <c r="O547" t="str">
        <f>"2025-04-01"</f>
        <v>2025-04-01</v>
      </c>
      <c r="P547" t="str">
        <f>"2026-03-31"</f>
        <v>2026-03-31</v>
      </c>
    </row>
    <row r="548" spans="1:16" x14ac:dyDescent="0.2">
      <c r="A548" t="str" cm="1">
        <f t="array" ref="A548">_xlfn.LET(
    _xlpm.txt, B548,
    _xlpm.chars, MID(_xlpm.txt, _xlfn.SEQUENCE(LEN(_xlpm.txt)), 1),
    _xlpm.filtered, _xlfn._xlws.FILTER(_xlpm.chars, NOT(ISNUMBER(SEARCH(_xlpm.chars, "ABCDEFGHIJKLMNOPQRSTUVWXYZabcdefghijklmnopqrstuvwxyz")))),
    _xlfn.TEXTJOIN("",, _xlpm.filtered)
)</f>
        <v>000832</v>
      </c>
      <c r="B548" s="3" t="s">
        <v>2275</v>
      </c>
      <c r="C548" s="3" t="s">
        <v>2276</v>
      </c>
      <c r="D548" s="4">
        <v>130</v>
      </c>
      <c r="E548" s="3" t="s">
        <v>2277</v>
      </c>
      <c r="F548" s="3" t="s">
        <v>2278</v>
      </c>
      <c r="G548" s="3" t="s">
        <v>2279</v>
      </c>
      <c r="H548" s="3" t="s">
        <v>1612</v>
      </c>
      <c r="I548" s="3" t="s">
        <v>33</v>
      </c>
      <c r="J548" s="3" t="s">
        <v>67</v>
      </c>
      <c r="K548" s="3" t="s">
        <v>33</v>
      </c>
      <c r="L548" s="3" t="s">
        <v>38</v>
      </c>
      <c r="M548" s="3" t="s">
        <v>33</v>
      </c>
      <c r="N548" s="3" t="s">
        <v>25</v>
      </c>
      <c r="O548" t="str">
        <f>"2024-10-01"</f>
        <v>2024-10-01</v>
      </c>
      <c r="P548" t="str">
        <f>"2025-09-30"</f>
        <v>2025-09-30</v>
      </c>
    </row>
    <row r="549" spans="1:16" x14ac:dyDescent="0.2">
      <c r="A549" t="str" cm="1">
        <f t="array" ref="A549">_xlfn.LET(
    _xlpm.txt, B549,
    _xlpm.chars, MID(_xlpm.txt, _xlfn.SEQUENCE(LEN(_xlpm.txt)), 1),
    _xlpm.filtered, _xlfn._xlws.FILTER(_xlpm.chars, NOT(ISNUMBER(SEARCH(_xlpm.chars, "ABCDEFGHIJKLMNOPQRSTUVWXYZabcdefghijklmnopqrstuvwxyz")))),
    _xlfn.TEXTJOIN("",, _xlpm.filtered)
)</f>
        <v>000833</v>
      </c>
      <c r="B549" s="3" t="s">
        <v>2280</v>
      </c>
      <c r="C549" s="3" t="s">
        <v>2281</v>
      </c>
      <c r="D549" s="4">
        <v>550</v>
      </c>
      <c r="E549" s="3" t="s">
        <v>1033</v>
      </c>
      <c r="F549" s="3" t="s">
        <v>33</v>
      </c>
      <c r="G549" s="3" t="s">
        <v>2282</v>
      </c>
      <c r="H549" s="3" t="s">
        <v>363</v>
      </c>
      <c r="I549" s="3" t="s">
        <v>33</v>
      </c>
      <c r="J549" s="3" t="s">
        <v>229</v>
      </c>
      <c r="K549" s="3" t="s">
        <v>33</v>
      </c>
      <c r="L549" s="3" t="s">
        <v>499</v>
      </c>
      <c r="M549" s="3" t="s">
        <v>33</v>
      </c>
      <c r="N549" s="3" t="s">
        <v>25</v>
      </c>
      <c r="O549" t="str">
        <f>"2024-10-15"</f>
        <v>2024-10-15</v>
      </c>
      <c r="P549" t="str">
        <f>"2025-10-14"</f>
        <v>2025-10-14</v>
      </c>
    </row>
    <row r="550" spans="1:16" x14ac:dyDescent="0.2">
      <c r="A550" t="str" cm="1">
        <f t="array" ref="A550">_xlfn.LET(
    _xlpm.txt, B550,
    _xlpm.chars, MID(_xlpm.txt, _xlfn.SEQUENCE(LEN(_xlpm.txt)), 1),
    _xlpm.filtered, _xlfn._xlws.FILTER(_xlpm.chars, NOT(ISNUMBER(SEARCH(_xlpm.chars, "ABCDEFGHIJKLMNOPQRSTUVWXYZabcdefghijklmnopqrstuvwxyz")))),
    _xlfn.TEXTJOIN("",, _xlpm.filtered)
)</f>
        <v>000834</v>
      </c>
      <c r="B550" s="3" t="s">
        <v>2283</v>
      </c>
      <c r="C550" s="3" t="s">
        <v>2284</v>
      </c>
      <c r="D550" s="4">
        <v>550</v>
      </c>
      <c r="E550" s="3" t="s">
        <v>1033</v>
      </c>
      <c r="F550" s="3" t="s">
        <v>2285</v>
      </c>
      <c r="G550" s="3" t="s">
        <v>2286</v>
      </c>
      <c r="H550" s="3" t="s">
        <v>363</v>
      </c>
      <c r="I550" s="3" t="s">
        <v>33</v>
      </c>
      <c r="J550" s="3" t="s">
        <v>229</v>
      </c>
      <c r="K550" s="3" t="s">
        <v>499</v>
      </c>
      <c r="L550" s="3" t="s">
        <v>499</v>
      </c>
      <c r="M550" s="3" t="s">
        <v>499</v>
      </c>
      <c r="N550" s="3" t="s">
        <v>25</v>
      </c>
      <c r="O550" t="str">
        <f>"2024-10-15"</f>
        <v>2024-10-15</v>
      </c>
      <c r="P550" t="str">
        <f>"2025-10-14"</f>
        <v>2025-10-14</v>
      </c>
    </row>
    <row r="551" spans="1:16" x14ac:dyDescent="0.2">
      <c r="A551" t="str" cm="1">
        <f t="array" ref="A551">_xlfn.LET(
    _xlpm.txt, B551,
    _xlpm.chars, MID(_xlpm.txt, _xlfn.SEQUENCE(LEN(_xlpm.txt)), 1),
    _xlpm.filtered, _xlfn._xlws.FILTER(_xlpm.chars, NOT(ISNUMBER(SEARCH(_xlpm.chars, "ABCDEFGHIJKLMNOPQRSTUVWXYZabcdefghijklmnopqrstuvwxyz")))),
    _xlfn.TEXTJOIN("",, _xlpm.filtered)
)</f>
        <v>000836</v>
      </c>
      <c r="B551" s="3" t="s">
        <v>2287</v>
      </c>
      <c r="C551" s="3" t="s">
        <v>2288</v>
      </c>
      <c r="D551" s="4">
        <v>0</v>
      </c>
      <c r="E551" s="3" t="s">
        <v>2289</v>
      </c>
      <c r="F551" s="3" t="s">
        <v>33</v>
      </c>
      <c r="G551" s="3" t="s">
        <v>2290</v>
      </c>
      <c r="H551" s="3" t="s">
        <v>2070</v>
      </c>
      <c r="I551" s="3" t="s">
        <v>33</v>
      </c>
      <c r="J551" s="3" t="s">
        <v>36</v>
      </c>
      <c r="K551" s="3" t="s">
        <v>271</v>
      </c>
      <c r="L551" s="3" t="s">
        <v>1521</v>
      </c>
      <c r="M551" s="3" t="s">
        <v>2058</v>
      </c>
      <c r="N551" s="3" t="s">
        <v>273</v>
      </c>
      <c r="O551" t="str">
        <f>"2024-10-23"</f>
        <v>2024-10-23</v>
      </c>
      <c r="P551" t="str">
        <f>"2025-10-22"</f>
        <v>2025-10-22</v>
      </c>
    </row>
    <row r="552" spans="1:16" x14ac:dyDescent="0.2">
      <c r="A552" t="str" cm="1">
        <f t="array" ref="A552">_xlfn.LET(
    _xlpm.txt, B552,
    _xlpm.chars, MID(_xlpm.txt, _xlfn.SEQUENCE(LEN(_xlpm.txt)), 1),
    _xlpm.filtered, _xlfn._xlws.FILTER(_xlpm.chars, NOT(ISNUMBER(SEARCH(_xlpm.chars, "ABCDEFGHIJKLMNOPQRSTUVWXYZabcdefghijklmnopqrstuvwxyz")))),
    _xlfn.TEXTJOIN("",, _xlpm.filtered)
)</f>
        <v>000837</v>
      </c>
      <c r="B552" s="3" t="s">
        <v>2291</v>
      </c>
      <c r="C552" s="3" t="s">
        <v>2292</v>
      </c>
      <c r="D552" s="4">
        <v>160</v>
      </c>
      <c r="E552" s="3" t="s">
        <v>2293</v>
      </c>
      <c r="F552" s="3" t="s">
        <v>2294</v>
      </c>
      <c r="G552" s="3" t="s">
        <v>2295</v>
      </c>
      <c r="H552" s="3" t="s">
        <v>736</v>
      </c>
      <c r="I552" s="3" t="s">
        <v>33</v>
      </c>
      <c r="J552" s="3" t="s">
        <v>85</v>
      </c>
      <c r="K552" s="3" t="s">
        <v>296</v>
      </c>
      <c r="L552" s="3" t="s">
        <v>296</v>
      </c>
      <c r="M552" s="3" t="s">
        <v>296</v>
      </c>
      <c r="N552" s="3" t="s">
        <v>25</v>
      </c>
      <c r="O552" t="str">
        <f>"2024-11-01"</f>
        <v>2024-11-01</v>
      </c>
      <c r="P552" t="str">
        <f>"2025-10-31"</f>
        <v>2025-10-31</v>
      </c>
    </row>
    <row r="553" spans="1:16" x14ac:dyDescent="0.2">
      <c r="A553" t="str" cm="1">
        <f t="array" ref="A553">_xlfn.LET(
    _xlpm.txt, B553,
    _xlpm.chars, MID(_xlpm.txt, _xlfn.SEQUENCE(LEN(_xlpm.txt)), 1),
    _xlpm.filtered, _xlfn._xlws.FILTER(_xlpm.chars, NOT(ISNUMBER(SEARCH(_xlpm.chars, "ABCDEFGHIJKLMNOPQRSTUVWXYZabcdefghijklmnopqrstuvwxyz")))),
    _xlfn.TEXTJOIN("",, _xlpm.filtered)
)</f>
        <v>000838</v>
      </c>
      <c r="B553" s="3" t="s">
        <v>2296</v>
      </c>
      <c r="C553" s="3" t="s">
        <v>2297</v>
      </c>
      <c r="D553" s="4">
        <v>150</v>
      </c>
      <c r="E553" s="3" t="s">
        <v>2298</v>
      </c>
      <c r="F553" s="3" t="s">
        <v>33</v>
      </c>
      <c r="G553" s="3" t="s">
        <v>2299</v>
      </c>
      <c r="H553" s="3" t="s">
        <v>363</v>
      </c>
      <c r="I553" s="3" t="s">
        <v>33</v>
      </c>
      <c r="J553" s="3" t="s">
        <v>67</v>
      </c>
      <c r="K553" s="3" t="s">
        <v>2064</v>
      </c>
      <c r="L553" s="3" t="s">
        <v>38</v>
      </c>
      <c r="M553" s="3" t="s">
        <v>33</v>
      </c>
      <c r="N553" s="3" t="s">
        <v>25</v>
      </c>
      <c r="O553" t="str">
        <f>"2024-11-01"</f>
        <v>2024-11-01</v>
      </c>
      <c r="P553" t="str">
        <f>"2025-10-31"</f>
        <v>2025-10-31</v>
      </c>
    </row>
    <row r="554" spans="1:16" x14ac:dyDescent="0.2">
      <c r="A554" t="str" cm="1">
        <f t="array" ref="A554">_xlfn.LET(
    _xlpm.txt, B554,
    _xlpm.chars, MID(_xlpm.txt, _xlfn.SEQUENCE(LEN(_xlpm.txt)), 1),
    _xlpm.filtered, _xlfn._xlws.FILTER(_xlpm.chars, NOT(ISNUMBER(SEARCH(_xlpm.chars, "ABCDEFGHIJKLMNOPQRSTUVWXYZabcdefghijklmnopqrstuvwxyz")))),
    _xlfn.TEXTJOIN("",, _xlpm.filtered)
)</f>
        <v>000839</v>
      </c>
      <c r="B554" s="3" t="s">
        <v>2300</v>
      </c>
      <c r="C554" s="3" t="s">
        <v>2301</v>
      </c>
      <c r="D554" s="4">
        <v>150</v>
      </c>
      <c r="E554" s="3" t="s">
        <v>2302</v>
      </c>
      <c r="F554" s="3" t="s">
        <v>33</v>
      </c>
      <c r="G554" s="3" t="s">
        <v>2303</v>
      </c>
      <c r="H554" s="3" t="s">
        <v>44</v>
      </c>
      <c r="I554" s="3" t="s">
        <v>33</v>
      </c>
      <c r="J554" s="3" t="s">
        <v>67</v>
      </c>
      <c r="K554" s="3" t="s">
        <v>770</v>
      </c>
      <c r="L554" s="3" t="s">
        <v>47</v>
      </c>
      <c r="M554" s="3" t="s">
        <v>33</v>
      </c>
      <c r="N554" s="3" t="s">
        <v>25</v>
      </c>
      <c r="O554" t="str">
        <f>"2024-11-02"</f>
        <v>2024-11-02</v>
      </c>
      <c r="P554" t="str">
        <f>"2025-11-01"</f>
        <v>2025-11-01</v>
      </c>
    </row>
    <row r="555" spans="1:16" x14ac:dyDescent="0.2">
      <c r="A555" t="str" cm="1">
        <f t="array" ref="A555">_xlfn.LET(
    _xlpm.txt, B555,
    _xlpm.chars, MID(_xlpm.txt, _xlfn.SEQUENCE(LEN(_xlpm.txt)), 1),
    _xlpm.filtered, _xlfn._xlws.FILTER(_xlpm.chars, NOT(ISNUMBER(SEARCH(_xlpm.chars, "ABCDEFGHIJKLMNOPQRSTUVWXYZabcdefghijklmnopqrstuvwxyz")))),
    _xlfn.TEXTJOIN("",, _xlpm.filtered)
)</f>
        <v>000840</v>
      </c>
      <c r="B555" s="3" t="s">
        <v>2304</v>
      </c>
      <c r="C555" s="3" t="s">
        <v>2305</v>
      </c>
      <c r="D555" s="4">
        <v>150</v>
      </c>
      <c r="E555" s="3" t="s">
        <v>2306</v>
      </c>
      <c r="F555" s="3" t="s">
        <v>2307</v>
      </c>
      <c r="G555" s="3" t="s">
        <v>2308</v>
      </c>
      <c r="H555" s="3" t="s">
        <v>202</v>
      </c>
      <c r="I555" s="3" t="s">
        <v>33</v>
      </c>
      <c r="J555" s="3" t="s">
        <v>67</v>
      </c>
      <c r="K555" s="3" t="s">
        <v>2124</v>
      </c>
      <c r="L555" s="3" t="s">
        <v>38</v>
      </c>
      <c r="M555" s="3" t="s">
        <v>62</v>
      </c>
      <c r="N555" s="3" t="s">
        <v>25</v>
      </c>
      <c r="O555" t="str">
        <f>"2024-11-01"</f>
        <v>2024-11-01</v>
      </c>
      <c r="P555" t="str">
        <f>"2025-10-31"</f>
        <v>2025-10-31</v>
      </c>
    </row>
    <row r="556" spans="1:16" x14ac:dyDescent="0.2">
      <c r="A556" t="str" cm="1">
        <f t="array" ref="A556">_xlfn.LET(
    _xlpm.txt, B556,
    _xlpm.chars, MID(_xlpm.txt, _xlfn.SEQUENCE(LEN(_xlpm.txt)), 1),
    _xlpm.filtered, _xlfn._xlws.FILTER(_xlpm.chars, NOT(ISNUMBER(SEARCH(_xlpm.chars, "ABCDEFGHIJKLMNOPQRSTUVWXYZabcdefghijklmnopqrstuvwxyz")))),
    _xlfn.TEXTJOIN("",, _xlpm.filtered)
)</f>
        <v>000841</v>
      </c>
      <c r="B556" s="3" t="s">
        <v>2309</v>
      </c>
      <c r="C556" s="3" t="s">
        <v>2310</v>
      </c>
      <c r="D556" s="4">
        <v>360</v>
      </c>
      <c r="E556" s="3" t="s">
        <v>2311</v>
      </c>
      <c r="F556" s="3" t="s">
        <v>2312</v>
      </c>
      <c r="G556" s="3" t="s">
        <v>2313</v>
      </c>
      <c r="H556" s="3" t="s">
        <v>84</v>
      </c>
      <c r="I556" s="3" t="s">
        <v>33</v>
      </c>
      <c r="J556" s="3" t="s">
        <v>119</v>
      </c>
      <c r="K556" s="3" t="s">
        <v>174</v>
      </c>
      <c r="L556" s="3" t="s">
        <v>174</v>
      </c>
      <c r="M556" s="3" t="s">
        <v>87</v>
      </c>
      <c r="N556" s="3" t="s">
        <v>25</v>
      </c>
      <c r="O556" t="str">
        <f>"2024-11-01"</f>
        <v>2024-11-01</v>
      </c>
      <c r="P556" t="str">
        <f>"2025-10-31"</f>
        <v>2025-10-31</v>
      </c>
    </row>
    <row r="557" spans="1:16" x14ac:dyDescent="0.2">
      <c r="A557" t="str" cm="1">
        <f t="array" ref="A557">_xlfn.LET(
    _xlpm.txt, B557,
    _xlpm.chars, MID(_xlpm.txt, _xlfn.SEQUENCE(LEN(_xlpm.txt)), 1),
    _xlpm.filtered, _xlfn._xlws.FILTER(_xlpm.chars, NOT(ISNUMBER(SEARCH(_xlpm.chars, "ABCDEFGHIJKLMNOPQRSTUVWXYZabcdefghijklmnopqrstuvwxyz")))),
    _xlfn.TEXTJOIN("",, _xlpm.filtered)
)</f>
        <v>000842</v>
      </c>
      <c r="B557" s="3" t="s">
        <v>2314</v>
      </c>
      <c r="C557" s="3" t="s">
        <v>2315</v>
      </c>
      <c r="D557" s="4">
        <v>100</v>
      </c>
      <c r="E557" s="3" t="s">
        <v>2316</v>
      </c>
      <c r="F557" s="3" t="s">
        <v>33</v>
      </c>
      <c r="G557" s="3" t="s">
        <v>2317</v>
      </c>
      <c r="H557" s="3" t="s">
        <v>308</v>
      </c>
      <c r="I557" s="3" t="s">
        <v>33</v>
      </c>
      <c r="J557" s="3" t="s">
        <v>67</v>
      </c>
      <c r="K557" s="3" t="s">
        <v>2318</v>
      </c>
      <c r="L557" s="3" t="s">
        <v>2318</v>
      </c>
      <c r="M557" s="3" t="s">
        <v>2319</v>
      </c>
      <c r="N557" s="3" t="s">
        <v>273</v>
      </c>
      <c r="O557" t="str">
        <f>"2024-11-01"</f>
        <v>2024-11-01</v>
      </c>
      <c r="P557" t="str">
        <f>"2025-10-31"</f>
        <v>2025-10-31</v>
      </c>
    </row>
    <row r="558" spans="1:16" x14ac:dyDescent="0.2">
      <c r="A558" t="str" cm="1">
        <f t="array" ref="A558">_xlfn.LET(
    _xlpm.txt, B558,
    _xlpm.chars, MID(_xlpm.txt, _xlfn.SEQUENCE(LEN(_xlpm.txt)), 1),
    _xlpm.filtered, _xlfn._xlws.FILTER(_xlpm.chars, NOT(ISNUMBER(SEARCH(_xlpm.chars, "ABCDEFGHIJKLMNOPQRSTUVWXYZabcdefghijklmnopqrstuvwxyz")))),
    _xlfn.TEXTJOIN("",, _xlpm.filtered)
)</f>
        <v>000843</v>
      </c>
      <c r="B558" s="3" t="s">
        <v>2320</v>
      </c>
      <c r="C558" s="3" t="s">
        <v>2321</v>
      </c>
      <c r="D558" s="4">
        <v>250</v>
      </c>
      <c r="E558" s="3" t="s">
        <v>227</v>
      </c>
      <c r="F558" s="3" t="s">
        <v>33</v>
      </c>
      <c r="G558" s="3" t="s">
        <v>2322</v>
      </c>
      <c r="H558" s="3" t="s">
        <v>184</v>
      </c>
      <c r="I558" s="3" t="s">
        <v>33</v>
      </c>
      <c r="J558" s="3" t="s">
        <v>119</v>
      </c>
      <c r="K558" s="3" t="s">
        <v>2323</v>
      </c>
      <c r="L558" s="3" t="s">
        <v>38</v>
      </c>
      <c r="M558" s="3" t="s">
        <v>87</v>
      </c>
      <c r="N558" s="3" t="s">
        <v>25</v>
      </c>
      <c r="O558" t="str">
        <f>"2024-12-01"</f>
        <v>2024-12-01</v>
      </c>
      <c r="P558" t="str">
        <f>"2025-11-30"</f>
        <v>2025-11-30</v>
      </c>
    </row>
    <row r="559" spans="1:16" x14ac:dyDescent="0.2">
      <c r="A559" t="str" cm="1">
        <f t="array" ref="A559">_xlfn.LET(
    _xlpm.txt, B559,
    _xlpm.chars, MID(_xlpm.txt, _xlfn.SEQUENCE(LEN(_xlpm.txt)), 1),
    _xlpm.filtered, _xlfn._xlws.FILTER(_xlpm.chars, NOT(ISNUMBER(SEARCH(_xlpm.chars, "ABCDEFGHIJKLMNOPQRSTUVWXYZabcdefghijklmnopqrstuvwxyz")))),
    _xlfn.TEXTJOIN("",, _xlpm.filtered)
)</f>
        <v>000844</v>
      </c>
      <c r="B559" s="3" t="s">
        <v>2324</v>
      </c>
      <c r="C559" s="3" t="s">
        <v>2325</v>
      </c>
      <c r="D559" s="4">
        <v>160</v>
      </c>
      <c r="E559" s="3" t="s">
        <v>2326</v>
      </c>
      <c r="F559" s="3" t="s">
        <v>33</v>
      </c>
      <c r="G559" s="3" t="s">
        <v>2327</v>
      </c>
      <c r="H559" s="3" t="s">
        <v>670</v>
      </c>
      <c r="I559" s="3" t="s">
        <v>33</v>
      </c>
      <c r="J559" s="3" t="s">
        <v>36</v>
      </c>
      <c r="K559" s="3" t="s">
        <v>2040</v>
      </c>
      <c r="L559" s="3" t="s">
        <v>38</v>
      </c>
      <c r="M559" s="3" t="s">
        <v>87</v>
      </c>
      <c r="N559" s="3" t="s">
        <v>25</v>
      </c>
      <c r="O559" t="str">
        <f>"2024-12-01"</f>
        <v>2024-12-01</v>
      </c>
      <c r="P559" t="str">
        <f>"2025-11-30"</f>
        <v>2025-11-30</v>
      </c>
    </row>
    <row r="560" spans="1:16" x14ac:dyDescent="0.2">
      <c r="A560" t="str" cm="1">
        <f t="array" ref="A560">_xlfn.LET(
    _xlpm.txt, B560,
    _xlpm.chars, MID(_xlpm.txt, _xlfn.SEQUENCE(LEN(_xlpm.txt)), 1),
    _xlpm.filtered, _xlfn._xlws.FILTER(_xlpm.chars, NOT(ISNUMBER(SEARCH(_xlpm.chars, "ABCDEFGHIJKLMNOPQRSTUVWXYZabcdefghijklmnopqrstuvwxyz")))),
    _xlfn.TEXTJOIN("",, _xlpm.filtered)
)</f>
        <v>000845</v>
      </c>
      <c r="B560" s="3" t="s">
        <v>2328</v>
      </c>
      <c r="C560" s="3" t="s">
        <v>2329</v>
      </c>
      <c r="D560" s="4">
        <v>600</v>
      </c>
      <c r="E560" s="3" t="s">
        <v>2330</v>
      </c>
      <c r="F560" s="3" t="s">
        <v>33</v>
      </c>
      <c r="G560" s="3" t="s">
        <v>2331</v>
      </c>
      <c r="H560" s="3" t="s">
        <v>84</v>
      </c>
      <c r="I560" s="3" t="s">
        <v>33</v>
      </c>
      <c r="J560" s="3" t="s">
        <v>229</v>
      </c>
      <c r="K560" s="3" t="s">
        <v>499</v>
      </c>
      <c r="L560" s="3" t="s">
        <v>499</v>
      </c>
      <c r="M560" s="3" t="s">
        <v>33</v>
      </c>
      <c r="N560" s="3" t="s">
        <v>25</v>
      </c>
      <c r="O560" t="str">
        <f>"2024-12-01"</f>
        <v>2024-12-01</v>
      </c>
      <c r="P560" t="str">
        <f>"2025-11-30"</f>
        <v>2025-11-30</v>
      </c>
    </row>
    <row r="561" spans="1:16" x14ac:dyDescent="0.2">
      <c r="A561" t="str" cm="1">
        <f t="array" ref="A561">_xlfn.LET(
    _xlpm.txt, B561,
    _xlpm.chars, MID(_xlpm.txt, _xlfn.SEQUENCE(LEN(_xlpm.txt)), 1),
    _xlpm.filtered, _xlfn._xlws.FILTER(_xlpm.chars, NOT(ISNUMBER(SEARCH(_xlpm.chars, "ABCDEFGHIJKLMNOPQRSTUVWXYZabcdefghijklmnopqrstuvwxyz")))),
    _xlfn.TEXTJOIN("",, _xlpm.filtered)
)</f>
        <v>000846</v>
      </c>
      <c r="B561" s="3" t="s">
        <v>2332</v>
      </c>
      <c r="C561" s="3" t="s">
        <v>2333</v>
      </c>
      <c r="D561" s="4">
        <v>150</v>
      </c>
      <c r="E561" s="3" t="s">
        <v>2334</v>
      </c>
      <c r="F561" s="3" t="s">
        <v>33</v>
      </c>
      <c r="G561" s="3" t="s">
        <v>2335</v>
      </c>
      <c r="H561" s="3" t="s">
        <v>736</v>
      </c>
      <c r="I561" s="3" t="s">
        <v>33</v>
      </c>
      <c r="J561" s="3" t="s">
        <v>67</v>
      </c>
      <c r="K561" s="3" t="s">
        <v>2124</v>
      </c>
      <c r="L561" s="3" t="s">
        <v>38</v>
      </c>
      <c r="M561" s="3" t="s">
        <v>33</v>
      </c>
      <c r="N561" s="3" t="s">
        <v>25</v>
      </c>
      <c r="O561" t="str">
        <f>"2024-12-15"</f>
        <v>2024-12-15</v>
      </c>
      <c r="P561" t="str">
        <f>"2025-12-14"</f>
        <v>2025-12-14</v>
      </c>
    </row>
    <row r="562" spans="1:16" x14ac:dyDescent="0.2">
      <c r="A562" t="str" cm="1">
        <f t="array" ref="A562">_xlfn.LET(
    _xlpm.txt, B562,
    _xlpm.chars, MID(_xlpm.txt, _xlfn.SEQUENCE(LEN(_xlpm.txt)), 1),
    _xlpm.filtered, _xlfn._xlws.FILTER(_xlpm.chars, NOT(ISNUMBER(SEARCH(_xlpm.chars, "ABCDEFGHIJKLMNOPQRSTUVWXYZabcdefghijklmnopqrstuvwxyz")))),
    _xlfn.TEXTJOIN("",, _xlpm.filtered)
)</f>
        <v>000847</v>
      </c>
      <c r="B562" s="3" t="s">
        <v>2336</v>
      </c>
      <c r="C562" s="3" t="s">
        <v>2337</v>
      </c>
      <c r="D562" s="4">
        <v>150</v>
      </c>
      <c r="E562" s="3" t="s">
        <v>2338</v>
      </c>
      <c r="F562" s="3" t="s">
        <v>33</v>
      </c>
      <c r="G562" s="3" t="s">
        <v>2339</v>
      </c>
      <c r="H562" s="3" t="s">
        <v>2340</v>
      </c>
      <c r="I562" s="3" t="s">
        <v>33</v>
      </c>
      <c r="J562" s="3" t="s">
        <v>36</v>
      </c>
      <c r="K562" s="3" t="s">
        <v>271</v>
      </c>
      <c r="L562" s="3" t="s">
        <v>38</v>
      </c>
      <c r="M562" s="3" t="s">
        <v>33</v>
      </c>
      <c r="N562" s="3" t="s">
        <v>25</v>
      </c>
      <c r="O562" t="str">
        <f>"2024-12-01"</f>
        <v>2024-12-01</v>
      </c>
      <c r="P562" t="str">
        <f>"2025-11-30"</f>
        <v>2025-11-30</v>
      </c>
    </row>
    <row r="563" spans="1:16" x14ac:dyDescent="0.2">
      <c r="A563" t="str" cm="1">
        <f t="array" ref="A563">_xlfn.LET(
    _xlpm.txt, B563,
    _xlpm.chars, MID(_xlpm.txt, _xlfn.SEQUENCE(LEN(_xlpm.txt)), 1),
    _xlpm.filtered, _xlfn._xlws.FILTER(_xlpm.chars, NOT(ISNUMBER(SEARCH(_xlpm.chars, "ABCDEFGHIJKLMNOPQRSTUVWXYZabcdefghijklmnopqrstuvwxyz")))),
    _xlfn.TEXTJOIN("",, _xlpm.filtered)
)</f>
        <v>000848</v>
      </c>
      <c r="B563" s="3" t="s">
        <v>2341</v>
      </c>
      <c r="C563" s="3" t="s">
        <v>2315</v>
      </c>
      <c r="D563" s="4">
        <v>290</v>
      </c>
      <c r="E563" s="3" t="s">
        <v>2316</v>
      </c>
      <c r="F563" s="3" t="s">
        <v>33</v>
      </c>
      <c r="G563" s="3" t="s">
        <v>2342</v>
      </c>
      <c r="H563" s="3" t="s">
        <v>308</v>
      </c>
      <c r="I563" s="3" t="s">
        <v>33</v>
      </c>
      <c r="J563" s="3" t="s">
        <v>67</v>
      </c>
      <c r="K563" s="3" t="s">
        <v>2124</v>
      </c>
      <c r="L563" s="3" t="s">
        <v>38</v>
      </c>
      <c r="M563" s="3" t="s">
        <v>33</v>
      </c>
      <c r="N563" s="3" t="s">
        <v>273</v>
      </c>
      <c r="O563" t="str">
        <f>"2024-12-01"</f>
        <v>2024-12-01</v>
      </c>
      <c r="P563" t="str">
        <f>"2025-11-30"</f>
        <v>2025-11-30</v>
      </c>
    </row>
    <row r="564" spans="1:16" x14ac:dyDescent="0.2">
      <c r="A564" t="str" cm="1">
        <f t="array" ref="A564">_xlfn.LET(
    _xlpm.txt, B564,
    _xlpm.chars, MID(_xlpm.txt, _xlfn.SEQUENCE(LEN(_xlpm.txt)), 1),
    _xlpm.filtered, _xlfn._xlws.FILTER(_xlpm.chars, NOT(ISNUMBER(SEARCH(_xlpm.chars, "ABCDEFGHIJKLMNOPQRSTUVWXYZabcdefghijklmnopqrstuvwxyz")))),
    _xlfn.TEXTJOIN("",, _xlpm.filtered)
)</f>
        <v>000849</v>
      </c>
      <c r="B564" s="3" t="s">
        <v>2343</v>
      </c>
      <c r="C564" s="3" t="s">
        <v>2344</v>
      </c>
      <c r="D564" s="4">
        <v>0</v>
      </c>
      <c r="E564" s="3" t="s">
        <v>2345</v>
      </c>
      <c r="F564" s="3" t="s">
        <v>33</v>
      </c>
      <c r="G564" s="3" t="s">
        <v>2346</v>
      </c>
      <c r="H564" s="3" t="s">
        <v>2347</v>
      </c>
      <c r="I564" s="3" t="s">
        <v>33</v>
      </c>
      <c r="J564" s="3" t="s">
        <v>67</v>
      </c>
      <c r="K564" s="3" t="s">
        <v>517</v>
      </c>
      <c r="L564" s="3" t="s">
        <v>2016</v>
      </c>
      <c r="M564" s="3" t="s">
        <v>1987</v>
      </c>
      <c r="N564" s="3" t="s">
        <v>25</v>
      </c>
      <c r="O564" t="str">
        <f>"2025-01-01"</f>
        <v>2025-01-01</v>
      </c>
      <c r="P564" t="str">
        <f>"2025-12-31"</f>
        <v>2025-12-31</v>
      </c>
    </row>
    <row r="565" spans="1:16" x14ac:dyDescent="0.2">
      <c r="A565" t="str" cm="1">
        <f t="array" ref="A565">_xlfn.LET(
    _xlpm.txt, B565,
    _xlpm.chars, MID(_xlpm.txt, _xlfn.SEQUENCE(LEN(_xlpm.txt)), 1),
    _xlpm.filtered, _xlfn._xlws.FILTER(_xlpm.chars, NOT(ISNUMBER(SEARCH(_xlpm.chars, "ABCDEFGHIJKLMNOPQRSTUVWXYZabcdefghijklmnopqrstuvwxyz")))),
    _xlfn.TEXTJOIN("",, _xlpm.filtered)
)</f>
        <v>000850</v>
      </c>
      <c r="B565" s="3" t="s">
        <v>2348</v>
      </c>
      <c r="C565" s="3" t="s">
        <v>553</v>
      </c>
      <c r="D565" s="4">
        <v>0</v>
      </c>
      <c r="E565" s="3" t="s">
        <v>2349</v>
      </c>
      <c r="F565" s="3" t="s">
        <v>33</v>
      </c>
      <c r="G565" s="3" t="s">
        <v>2350</v>
      </c>
      <c r="H565" s="3" t="s">
        <v>2351</v>
      </c>
      <c r="I565" s="3" t="s">
        <v>33</v>
      </c>
      <c r="J565" s="3" t="s">
        <v>36</v>
      </c>
      <c r="K565" s="3" t="s">
        <v>517</v>
      </c>
      <c r="L565" s="3" t="s">
        <v>2028</v>
      </c>
      <c r="M565" s="3" t="s">
        <v>2029</v>
      </c>
      <c r="N565" s="3" t="s">
        <v>25</v>
      </c>
      <c r="O565" t="str">
        <f>"2024-12-15"</f>
        <v>2024-12-15</v>
      </c>
      <c r="P565" t="str">
        <f>"2025-12-14"</f>
        <v>2025-12-14</v>
      </c>
    </row>
    <row r="566" spans="1:16" x14ac:dyDescent="0.2">
      <c r="A566" t="str" cm="1">
        <f t="array" ref="A566">_xlfn.LET(
    _xlpm.txt, B566,
    _xlpm.chars, MID(_xlpm.txt, _xlfn.SEQUENCE(LEN(_xlpm.txt)), 1),
    _xlpm.filtered, _xlfn._xlws.FILTER(_xlpm.chars, NOT(ISNUMBER(SEARCH(_xlpm.chars, "ABCDEFGHIJKLMNOPQRSTUVWXYZabcdefghijklmnopqrstuvwxyz")))),
    _xlfn.TEXTJOIN("",, _xlpm.filtered)
)</f>
        <v>000851</v>
      </c>
      <c r="B566" s="3" t="s">
        <v>2352</v>
      </c>
      <c r="C566" s="3" t="s">
        <v>2353</v>
      </c>
      <c r="D566" s="4">
        <v>0</v>
      </c>
      <c r="E566" s="3" t="s">
        <v>2354</v>
      </c>
      <c r="F566" s="3" t="s">
        <v>33</v>
      </c>
      <c r="G566" s="3" t="s">
        <v>2355</v>
      </c>
      <c r="H566" s="3" t="s">
        <v>2351</v>
      </c>
      <c r="I566" s="3" t="s">
        <v>33</v>
      </c>
      <c r="J566" s="3" t="s">
        <v>33</v>
      </c>
      <c r="K566" s="3" t="s">
        <v>33</v>
      </c>
      <c r="L566" s="3" t="s">
        <v>33</v>
      </c>
      <c r="M566" s="3" t="s">
        <v>33</v>
      </c>
      <c r="N566" s="3" t="s">
        <v>25</v>
      </c>
      <c r="O566" t="str">
        <f>"2024-12-19"</f>
        <v>2024-12-19</v>
      </c>
      <c r="P566" t="str">
        <f>"2025-12-18"</f>
        <v>2025-12-18</v>
      </c>
    </row>
    <row r="567" spans="1:16" x14ac:dyDescent="0.2">
      <c r="A567" t="str" cm="1">
        <f t="array" ref="A567">_xlfn.LET(
    _xlpm.txt, B567,
    _xlpm.chars, MID(_xlpm.txt, _xlfn.SEQUENCE(LEN(_xlpm.txt)), 1),
    _xlpm.filtered, _xlfn._xlws.FILTER(_xlpm.chars, NOT(ISNUMBER(SEARCH(_xlpm.chars, "ABCDEFGHIJKLMNOPQRSTUVWXYZabcdefghijklmnopqrstuvwxyz")))),
    _xlfn.TEXTJOIN("",, _xlpm.filtered)
)</f>
        <v>000852</v>
      </c>
      <c r="B567" s="3" t="s">
        <v>2356</v>
      </c>
      <c r="C567" s="3" t="s">
        <v>2357</v>
      </c>
      <c r="D567" s="4">
        <v>1200</v>
      </c>
      <c r="E567" s="3" t="s">
        <v>2358</v>
      </c>
      <c r="F567" s="3" t="s">
        <v>33</v>
      </c>
      <c r="G567" s="3" t="s">
        <v>2359</v>
      </c>
      <c r="H567" s="3" t="s">
        <v>19</v>
      </c>
      <c r="I567" s="3" t="s">
        <v>33</v>
      </c>
      <c r="J567" s="3" t="s">
        <v>33</v>
      </c>
      <c r="K567" s="3" t="s">
        <v>33</v>
      </c>
      <c r="L567" s="3" t="s">
        <v>33</v>
      </c>
      <c r="M567" s="3" t="s">
        <v>33</v>
      </c>
      <c r="N567" s="3" t="s">
        <v>273</v>
      </c>
      <c r="O567" t="str">
        <f>"2025-01-01"</f>
        <v>2025-01-01</v>
      </c>
      <c r="P567" t="str">
        <f>"2025-12-31"</f>
        <v>2025-12-31</v>
      </c>
    </row>
    <row r="568" spans="1:16" x14ac:dyDescent="0.2">
      <c r="A568" t="str" cm="1">
        <f t="array" ref="A568">_xlfn.LET(
    _xlpm.txt, B568,
    _xlpm.chars, MID(_xlpm.txt, _xlfn.SEQUENCE(LEN(_xlpm.txt)), 1),
    _xlpm.filtered, _xlfn._xlws.FILTER(_xlpm.chars, NOT(ISNUMBER(SEARCH(_xlpm.chars, "ABCDEFGHIJKLMNOPQRSTUVWXYZabcdefghijklmnopqrstuvwxyz")))),
    _xlfn.TEXTJOIN("",, _xlpm.filtered)
)</f>
        <v>000853</v>
      </c>
      <c r="B568" s="3" t="s">
        <v>2360</v>
      </c>
      <c r="C568" s="3" t="s">
        <v>121</v>
      </c>
      <c r="D568" s="4">
        <v>150</v>
      </c>
      <c r="E568" s="3" t="s">
        <v>122</v>
      </c>
      <c r="F568" s="3" t="s">
        <v>33</v>
      </c>
      <c r="G568" s="3" t="s">
        <v>2361</v>
      </c>
      <c r="H568" s="3" t="s">
        <v>112</v>
      </c>
      <c r="I568" s="3" t="s">
        <v>33</v>
      </c>
      <c r="J568" s="3" t="s">
        <v>36</v>
      </c>
      <c r="K568" s="3" t="s">
        <v>61</v>
      </c>
      <c r="L568" s="3" t="s">
        <v>2016</v>
      </c>
      <c r="M568" s="3" t="s">
        <v>2208</v>
      </c>
      <c r="N568" s="3" t="s">
        <v>25</v>
      </c>
      <c r="O568" t="str">
        <f>"2025-01-01"</f>
        <v>2025-01-01</v>
      </c>
      <c r="P568" t="str">
        <f>"2025-12-31"</f>
        <v>2025-12-31</v>
      </c>
    </row>
    <row r="569" spans="1:16" x14ac:dyDescent="0.2">
      <c r="A569" t="str" cm="1">
        <f t="array" ref="A569">_xlfn.LET(
    _xlpm.txt, B569,
    _xlpm.chars, MID(_xlpm.txt, _xlfn.SEQUENCE(LEN(_xlpm.txt)), 1),
    _xlpm.filtered, _xlfn._xlws.FILTER(_xlpm.chars, NOT(ISNUMBER(SEARCH(_xlpm.chars, "ABCDEFGHIJKLMNOPQRSTUVWXYZabcdefghijklmnopqrstuvwxyz")))),
    _xlfn.TEXTJOIN("",, _xlpm.filtered)
)</f>
        <v>000854</v>
      </c>
      <c r="B569" s="3" t="s">
        <v>2362</v>
      </c>
      <c r="C569" s="3" t="s">
        <v>2363</v>
      </c>
      <c r="D569" s="4">
        <v>150</v>
      </c>
      <c r="E569" s="3" t="s">
        <v>2364</v>
      </c>
      <c r="F569" s="3" t="s">
        <v>33</v>
      </c>
      <c r="G569" s="3" t="s">
        <v>2365</v>
      </c>
      <c r="H569" s="3" t="s">
        <v>623</v>
      </c>
      <c r="I569" s="3" t="s">
        <v>33</v>
      </c>
      <c r="J569" s="3" t="s">
        <v>36</v>
      </c>
      <c r="K569" s="3" t="s">
        <v>2124</v>
      </c>
      <c r="L569" s="3" t="s">
        <v>38</v>
      </c>
      <c r="M569" s="3" t="s">
        <v>2011</v>
      </c>
      <c r="N569" s="3" t="s">
        <v>25</v>
      </c>
      <c r="O569" t="str">
        <f>"2025-01-01"</f>
        <v>2025-01-01</v>
      </c>
      <c r="P569" t="str">
        <f>"2025-12-31"</f>
        <v>2025-12-31</v>
      </c>
    </row>
    <row r="570" spans="1:16" x14ac:dyDescent="0.2">
      <c r="A570" t="str" cm="1">
        <f t="array" ref="A570">_xlfn.LET(
    _xlpm.txt, B570,
    _xlpm.chars, MID(_xlpm.txt, _xlfn.SEQUENCE(LEN(_xlpm.txt)), 1),
    _xlpm.filtered, _xlfn._xlws.FILTER(_xlpm.chars, NOT(ISNUMBER(SEARCH(_xlpm.chars, "ABCDEFGHIJKLMNOPQRSTUVWXYZabcdefghijklmnopqrstuvwxyz")))),
    _xlfn.TEXTJOIN("",, _xlpm.filtered)
)</f>
        <v>000856</v>
      </c>
      <c r="B570" s="3" t="s">
        <v>2366</v>
      </c>
      <c r="C570" s="3" t="s">
        <v>2367</v>
      </c>
      <c r="D570" s="4">
        <v>400</v>
      </c>
      <c r="E570" s="3" t="s">
        <v>253</v>
      </c>
      <c r="F570" s="3" t="s">
        <v>2368</v>
      </c>
      <c r="G570" s="3" t="s">
        <v>2369</v>
      </c>
      <c r="H570" s="3" t="s">
        <v>59</v>
      </c>
      <c r="I570" s="3" t="s">
        <v>33</v>
      </c>
      <c r="J570" s="3" t="s">
        <v>21</v>
      </c>
      <c r="K570" s="3" t="s">
        <v>770</v>
      </c>
      <c r="L570" s="3" t="s">
        <v>38</v>
      </c>
      <c r="M570" s="3" t="s">
        <v>2011</v>
      </c>
      <c r="N570" s="3" t="s">
        <v>25</v>
      </c>
      <c r="O570" t="str">
        <f>"2025-01-12"</f>
        <v>2025-01-12</v>
      </c>
      <c r="P570" t="str">
        <f>"2026-01-11"</f>
        <v>2026-01-11</v>
      </c>
    </row>
    <row r="571" spans="1:16" x14ac:dyDescent="0.2">
      <c r="A571" t="str" cm="1">
        <f t="array" ref="A571">_xlfn.LET(
    _xlpm.txt, B571,
    _xlpm.chars, MID(_xlpm.txt, _xlfn.SEQUENCE(LEN(_xlpm.txt)), 1),
    _xlpm.filtered, _xlfn._xlws.FILTER(_xlpm.chars, NOT(ISNUMBER(SEARCH(_xlpm.chars, "ABCDEFGHIJKLMNOPQRSTUVWXYZabcdefghijklmnopqrstuvwxyz")))),
    _xlfn.TEXTJOIN("",, _xlpm.filtered)
)</f>
        <v>000857</v>
      </c>
      <c r="B571" s="3" t="s">
        <v>2370</v>
      </c>
      <c r="C571" s="3" t="s">
        <v>2371</v>
      </c>
      <c r="D571" s="4">
        <v>120</v>
      </c>
      <c r="E571" s="3" t="s">
        <v>2372</v>
      </c>
      <c r="F571" s="3" t="s">
        <v>33</v>
      </c>
      <c r="G571" s="3" t="s">
        <v>2373</v>
      </c>
      <c r="H571" s="3" t="s">
        <v>98</v>
      </c>
      <c r="I571" s="3" t="s">
        <v>33</v>
      </c>
      <c r="J571" s="3" t="s">
        <v>67</v>
      </c>
      <c r="K571" s="3" t="s">
        <v>33</v>
      </c>
      <c r="L571" s="3" t="s">
        <v>38</v>
      </c>
      <c r="M571" s="3" t="s">
        <v>33</v>
      </c>
      <c r="N571" s="3" t="s">
        <v>273</v>
      </c>
      <c r="O571" t="str">
        <f>"2025-01-13"</f>
        <v>2025-01-13</v>
      </c>
      <c r="P571" t="str">
        <f>"2026-01-12"</f>
        <v>2026-01-12</v>
      </c>
    </row>
    <row r="572" spans="1:16" x14ac:dyDescent="0.2">
      <c r="A572" t="str" cm="1">
        <f t="array" ref="A572">_xlfn.LET(
    _xlpm.txt, B572,
    _xlpm.chars, MID(_xlpm.txt, _xlfn.SEQUENCE(LEN(_xlpm.txt)), 1),
    _xlpm.filtered, _xlfn._xlws.FILTER(_xlpm.chars, NOT(ISNUMBER(SEARCH(_xlpm.chars, "ABCDEFGHIJKLMNOPQRSTUVWXYZabcdefghijklmnopqrstuvwxyz")))),
    _xlfn.TEXTJOIN("",, _xlpm.filtered)
)</f>
        <v>000858</v>
      </c>
      <c r="B572" s="3" t="s">
        <v>2374</v>
      </c>
      <c r="C572" s="3" t="s">
        <v>2375</v>
      </c>
      <c r="D572" s="4">
        <v>140</v>
      </c>
      <c r="E572" s="3" t="s">
        <v>2376</v>
      </c>
      <c r="F572" s="3" t="s">
        <v>33</v>
      </c>
      <c r="G572" s="3" t="s">
        <v>2377</v>
      </c>
      <c r="H572" s="3" t="s">
        <v>264</v>
      </c>
      <c r="I572" s="3" t="s">
        <v>33</v>
      </c>
      <c r="J572" s="3" t="s">
        <v>36</v>
      </c>
      <c r="K572" s="3" t="s">
        <v>517</v>
      </c>
      <c r="L572" s="3" t="s">
        <v>2016</v>
      </c>
      <c r="M572" s="3" t="s">
        <v>185</v>
      </c>
      <c r="N572" s="3" t="s">
        <v>25</v>
      </c>
      <c r="O572" t="str">
        <f>"2025-02-01"</f>
        <v>2025-02-01</v>
      </c>
      <c r="P572" t="str">
        <f>"2026-01-31"</f>
        <v>2026-01-31</v>
      </c>
    </row>
    <row r="573" spans="1:16" x14ac:dyDescent="0.2">
      <c r="A573" t="str" cm="1">
        <f t="array" ref="A573">_xlfn.LET(
    _xlpm.txt, B573,
    _xlpm.chars, MID(_xlpm.txt, _xlfn.SEQUENCE(LEN(_xlpm.txt)), 1),
    _xlpm.filtered, _xlfn._xlws.FILTER(_xlpm.chars, NOT(ISNUMBER(SEARCH(_xlpm.chars, "ABCDEFGHIJKLMNOPQRSTUVWXYZabcdefghijklmnopqrstuvwxyz")))),
    _xlfn.TEXTJOIN("",, _xlpm.filtered)
)</f>
        <v>000859</v>
      </c>
      <c r="B573" s="3" t="s">
        <v>2378</v>
      </c>
      <c r="C573" s="3" t="s">
        <v>2379</v>
      </c>
      <c r="D573" s="4">
        <v>130</v>
      </c>
      <c r="E573" s="3" t="s">
        <v>2380</v>
      </c>
      <c r="F573" s="3" t="s">
        <v>33</v>
      </c>
      <c r="G573" s="3" t="s">
        <v>2381</v>
      </c>
      <c r="H573" s="3" t="s">
        <v>736</v>
      </c>
      <c r="I573" s="3" t="s">
        <v>33</v>
      </c>
      <c r="J573" s="3" t="s">
        <v>36</v>
      </c>
      <c r="K573" s="3" t="s">
        <v>2124</v>
      </c>
      <c r="L573" s="3" t="s">
        <v>163</v>
      </c>
      <c r="M573" s="3" t="s">
        <v>33</v>
      </c>
      <c r="N573" s="3" t="s">
        <v>25</v>
      </c>
      <c r="O573" t="str">
        <f>"2025-01-16"</f>
        <v>2025-01-16</v>
      </c>
      <c r="P573" t="str">
        <f>"2026-01-15"</f>
        <v>2026-01-15</v>
      </c>
    </row>
    <row r="574" spans="1:16" x14ac:dyDescent="0.2">
      <c r="A574" t="str" cm="1">
        <f t="array" ref="A574">_xlfn.LET(
    _xlpm.txt, B574,
    _xlpm.chars, MID(_xlpm.txt, _xlfn.SEQUENCE(LEN(_xlpm.txt)), 1),
    _xlpm.filtered, _xlfn._xlws.FILTER(_xlpm.chars, NOT(ISNUMBER(SEARCH(_xlpm.chars, "ABCDEFGHIJKLMNOPQRSTUVWXYZabcdefghijklmnopqrstuvwxyz")))),
    _xlfn.TEXTJOIN("",, _xlpm.filtered)
)</f>
        <v>000860</v>
      </c>
      <c r="B574" s="3" t="s">
        <v>2382</v>
      </c>
      <c r="C574" s="3" t="s">
        <v>1814</v>
      </c>
      <c r="D574" s="4">
        <v>140</v>
      </c>
      <c r="E574" s="3" t="s">
        <v>2383</v>
      </c>
      <c r="F574" s="3" t="s">
        <v>2384</v>
      </c>
      <c r="G574" s="3" t="s">
        <v>2385</v>
      </c>
      <c r="H574" s="3" t="s">
        <v>195</v>
      </c>
      <c r="I574" s="3" t="s">
        <v>33</v>
      </c>
      <c r="J574" s="3" t="s">
        <v>36</v>
      </c>
      <c r="K574" s="3" t="s">
        <v>2124</v>
      </c>
      <c r="L574" s="3" t="s">
        <v>38</v>
      </c>
      <c r="M574" s="3" t="s">
        <v>1987</v>
      </c>
      <c r="N574" s="3" t="s">
        <v>25</v>
      </c>
      <c r="O574" t="str">
        <f>"2025-02-01"</f>
        <v>2025-02-01</v>
      </c>
      <c r="P574" t="str">
        <f>"2026-01-31"</f>
        <v>2026-01-31</v>
      </c>
    </row>
    <row r="575" spans="1:16" x14ac:dyDescent="0.2">
      <c r="A575" t="str" cm="1">
        <f t="array" ref="A575">_xlfn.LET(
    _xlpm.txt, B575,
    _xlpm.chars, MID(_xlpm.txt, _xlfn.SEQUENCE(LEN(_xlpm.txt)), 1),
    _xlpm.filtered, _xlfn._xlws.FILTER(_xlpm.chars, NOT(ISNUMBER(SEARCH(_xlpm.chars, "ABCDEFGHIJKLMNOPQRSTUVWXYZabcdefghijklmnopqrstuvwxyz")))),
    _xlfn.TEXTJOIN("",, _xlpm.filtered)
)</f>
        <v>000861</v>
      </c>
      <c r="B575" s="3" t="s">
        <v>2386</v>
      </c>
      <c r="C575" s="3" t="s">
        <v>2387</v>
      </c>
      <c r="D575" s="4">
        <v>150</v>
      </c>
      <c r="E575" s="3" t="s">
        <v>2388</v>
      </c>
      <c r="F575" s="3" t="s">
        <v>33</v>
      </c>
      <c r="G575" s="3" t="s">
        <v>2389</v>
      </c>
      <c r="H575" s="3" t="s">
        <v>202</v>
      </c>
      <c r="I575" s="3" t="s">
        <v>33</v>
      </c>
      <c r="J575" s="3" t="s">
        <v>36</v>
      </c>
      <c r="K575" s="3" t="s">
        <v>770</v>
      </c>
      <c r="L575" s="3" t="s">
        <v>38</v>
      </c>
      <c r="M575" s="3" t="s">
        <v>2058</v>
      </c>
      <c r="N575" s="3" t="s">
        <v>25</v>
      </c>
      <c r="O575" t="str">
        <f>"2025-01-22"</f>
        <v>2025-01-22</v>
      </c>
      <c r="P575" t="str">
        <f>"2026-01-21"</f>
        <v>2026-01-21</v>
      </c>
    </row>
    <row r="576" spans="1:16" x14ac:dyDescent="0.2">
      <c r="A576" t="str" cm="1">
        <f t="array" ref="A576">_xlfn.LET(
    _xlpm.txt, B576,
    _xlpm.chars, MID(_xlpm.txt, _xlfn.SEQUENCE(LEN(_xlpm.txt)), 1),
    _xlpm.filtered, _xlfn._xlws.FILTER(_xlpm.chars, NOT(ISNUMBER(SEARCH(_xlpm.chars, "ABCDEFGHIJKLMNOPQRSTUVWXYZabcdefghijklmnopqrstuvwxyz")))),
    _xlfn.TEXTJOIN("",, _xlpm.filtered)
)</f>
        <v>000862</v>
      </c>
      <c r="B576" s="3" t="s">
        <v>2390</v>
      </c>
      <c r="C576" s="3" t="s">
        <v>2391</v>
      </c>
      <c r="D576" s="4">
        <v>120</v>
      </c>
      <c r="E576" s="3" t="s">
        <v>2392</v>
      </c>
      <c r="F576" s="3" t="s">
        <v>33</v>
      </c>
      <c r="G576" s="3" t="s">
        <v>2393</v>
      </c>
      <c r="H576" s="3" t="s">
        <v>1503</v>
      </c>
      <c r="I576" s="3" t="s">
        <v>33</v>
      </c>
      <c r="J576" s="3" t="s">
        <v>67</v>
      </c>
      <c r="K576" s="3" t="s">
        <v>46</v>
      </c>
      <c r="L576" s="3" t="s">
        <v>2016</v>
      </c>
      <c r="M576" s="3" t="s">
        <v>2011</v>
      </c>
      <c r="N576" s="3" t="s">
        <v>273</v>
      </c>
      <c r="O576" t="str">
        <f>"2025-01-25"</f>
        <v>2025-01-25</v>
      </c>
      <c r="P576" t="str">
        <f>"2026-01-24"</f>
        <v>2026-01-24</v>
      </c>
    </row>
    <row r="577" spans="1:16" x14ac:dyDescent="0.2">
      <c r="A577" t="str" cm="1">
        <f t="array" ref="A577">_xlfn.LET(
    _xlpm.txt, B577,
    _xlpm.chars, MID(_xlpm.txt, _xlfn.SEQUENCE(LEN(_xlpm.txt)), 1),
    _xlpm.filtered, _xlfn._xlws.FILTER(_xlpm.chars, NOT(ISNUMBER(SEARCH(_xlpm.chars, "ABCDEFGHIJKLMNOPQRSTUVWXYZabcdefghijklmnopqrstuvwxyz")))),
    _xlfn.TEXTJOIN("",, _xlpm.filtered)
)</f>
        <v>000864</v>
      </c>
      <c r="B577" s="3" t="s">
        <v>2394</v>
      </c>
      <c r="C577" s="3" t="s">
        <v>2395</v>
      </c>
      <c r="D577" s="4">
        <v>120</v>
      </c>
      <c r="E577" s="3" t="s">
        <v>2396</v>
      </c>
      <c r="F577" s="3" t="s">
        <v>33</v>
      </c>
      <c r="G577" s="3" t="s">
        <v>2397</v>
      </c>
      <c r="H577" s="3" t="s">
        <v>736</v>
      </c>
      <c r="I577" s="3" t="s">
        <v>33</v>
      </c>
      <c r="J577" s="3" t="s">
        <v>36</v>
      </c>
      <c r="K577" s="3" t="s">
        <v>37</v>
      </c>
      <c r="L577" s="3" t="s">
        <v>38</v>
      </c>
      <c r="M577" s="3" t="s">
        <v>62</v>
      </c>
      <c r="N577" s="3" t="s">
        <v>273</v>
      </c>
      <c r="O577" t="str">
        <f>"2025-02-02"</f>
        <v>2025-02-02</v>
      </c>
      <c r="P577" t="str">
        <f>"2026-02-01"</f>
        <v>2026-02-01</v>
      </c>
    </row>
    <row r="578" spans="1:16" x14ac:dyDescent="0.2">
      <c r="A578" t="str" cm="1">
        <f t="array" ref="A578">_xlfn.LET(
    _xlpm.txt, B578,
    _xlpm.chars, MID(_xlpm.txt, _xlfn.SEQUENCE(LEN(_xlpm.txt)), 1),
    _xlpm.filtered, _xlfn._xlws.FILTER(_xlpm.chars, NOT(ISNUMBER(SEARCH(_xlpm.chars, "ABCDEFGHIJKLMNOPQRSTUVWXYZabcdefghijklmnopqrstuvwxyz")))),
    _xlfn.TEXTJOIN("",, _xlpm.filtered)
)</f>
        <v>000865</v>
      </c>
      <c r="B578" s="3" t="s">
        <v>2398</v>
      </c>
      <c r="C578" s="3" t="s">
        <v>2399</v>
      </c>
      <c r="D578" s="4">
        <v>150</v>
      </c>
      <c r="E578" s="3" t="s">
        <v>2400</v>
      </c>
      <c r="F578" s="3" t="s">
        <v>33</v>
      </c>
      <c r="G578" s="3" t="s">
        <v>2401</v>
      </c>
      <c r="H578" s="3" t="s">
        <v>1435</v>
      </c>
      <c r="I578" s="3" t="s">
        <v>20</v>
      </c>
      <c r="J578" s="3" t="s">
        <v>67</v>
      </c>
      <c r="K578" s="3" t="s">
        <v>33</v>
      </c>
      <c r="L578" s="3" t="s">
        <v>38</v>
      </c>
      <c r="M578" s="3" t="s">
        <v>33</v>
      </c>
      <c r="N578" s="3" t="s">
        <v>25</v>
      </c>
      <c r="O578" t="str">
        <f>"2025-02-10"</f>
        <v>2025-02-10</v>
      </c>
      <c r="P578" t="str">
        <f>"2026-02-09"</f>
        <v>2026-02-09</v>
      </c>
    </row>
    <row r="579" spans="1:16" x14ac:dyDescent="0.2">
      <c r="A579" t="str" cm="1">
        <f t="array" ref="A579">_xlfn.LET(
    _xlpm.txt, B579,
    _xlpm.chars, MID(_xlpm.txt, _xlfn.SEQUENCE(LEN(_xlpm.txt)), 1),
    _xlpm.filtered, _xlfn._xlws.FILTER(_xlpm.chars, NOT(ISNUMBER(SEARCH(_xlpm.chars, "ABCDEFGHIJKLMNOPQRSTUVWXYZabcdefghijklmnopqrstuvwxyz")))),
    _xlfn.TEXTJOIN("",, _xlpm.filtered)
)</f>
        <v>000867</v>
      </c>
      <c r="B579" s="3" t="s">
        <v>2402</v>
      </c>
      <c r="C579" s="3" t="s">
        <v>2403</v>
      </c>
      <c r="D579" s="4">
        <v>1200</v>
      </c>
      <c r="E579" s="3" t="s">
        <v>2358</v>
      </c>
      <c r="F579" s="3" t="s">
        <v>33</v>
      </c>
      <c r="G579" s="3" t="s">
        <v>2404</v>
      </c>
      <c r="H579" s="3" t="s">
        <v>19</v>
      </c>
      <c r="I579" s="3" t="s">
        <v>33</v>
      </c>
      <c r="J579" s="3" t="s">
        <v>33</v>
      </c>
      <c r="K579" s="3" t="s">
        <v>33</v>
      </c>
      <c r="L579" s="3" t="s">
        <v>1041</v>
      </c>
      <c r="M579" s="3" t="s">
        <v>33</v>
      </c>
      <c r="N579" s="3" t="s">
        <v>273</v>
      </c>
      <c r="O579" t="str">
        <f>"2025-03-01"</f>
        <v>2025-03-01</v>
      </c>
      <c r="P579" t="str">
        <f>"2026-02-28"</f>
        <v>2026-02-28</v>
      </c>
    </row>
    <row r="580" spans="1:16" x14ac:dyDescent="0.2">
      <c r="A580" t="str" cm="1">
        <f t="array" ref="A580">_xlfn.LET(
    _xlpm.txt, B580,
    _xlpm.chars, MID(_xlpm.txt, _xlfn.SEQUENCE(LEN(_xlpm.txt)), 1),
    _xlpm.filtered, _xlfn._xlws.FILTER(_xlpm.chars, NOT(ISNUMBER(SEARCH(_xlpm.chars, "ABCDEFGHIJKLMNOPQRSTUVWXYZabcdefghijklmnopqrstuvwxyz")))),
    _xlfn.TEXTJOIN("",, _xlpm.filtered)
)</f>
        <v>000868</v>
      </c>
      <c r="B580" s="3" t="s">
        <v>2405</v>
      </c>
      <c r="C580" s="3" t="s">
        <v>2406</v>
      </c>
      <c r="D580" s="4">
        <v>0</v>
      </c>
      <c r="E580" s="3" t="s">
        <v>2407</v>
      </c>
      <c r="F580" s="3" t="s">
        <v>33</v>
      </c>
      <c r="G580" s="3" t="s">
        <v>2408</v>
      </c>
      <c r="H580" s="3" t="s">
        <v>132</v>
      </c>
      <c r="I580" s="3" t="s">
        <v>33</v>
      </c>
      <c r="J580" s="3" t="s">
        <v>73</v>
      </c>
      <c r="K580" s="3" t="s">
        <v>517</v>
      </c>
      <c r="L580" s="3" t="s">
        <v>2016</v>
      </c>
      <c r="M580" s="3" t="s">
        <v>2058</v>
      </c>
      <c r="N580" s="3" t="s">
        <v>25</v>
      </c>
      <c r="O580" t="str">
        <f>"2025-03-13"</f>
        <v>2025-03-13</v>
      </c>
      <c r="P580" t="str">
        <f>"2026-03-12"</f>
        <v>2026-03-12</v>
      </c>
    </row>
    <row r="581" spans="1:16" x14ac:dyDescent="0.2">
      <c r="A581" t="str" cm="1">
        <f t="array" ref="A581">_xlfn.LET(
    _xlpm.txt, B581,
    _xlpm.chars, MID(_xlpm.txt, _xlfn.SEQUENCE(LEN(_xlpm.txt)), 1),
    _xlpm.filtered, _xlfn._xlws.FILTER(_xlpm.chars, NOT(ISNUMBER(SEARCH(_xlpm.chars, "ABCDEFGHIJKLMNOPQRSTUVWXYZabcdefghijklmnopqrstuvwxyz")))),
    _xlfn.TEXTJOIN("",, _xlpm.filtered)
)</f>
        <v>000869</v>
      </c>
      <c r="B581" s="3" t="s">
        <v>2409</v>
      </c>
      <c r="C581" s="3" t="s">
        <v>246</v>
      </c>
      <c r="D581" s="4">
        <v>360</v>
      </c>
      <c r="E581" s="3" t="s">
        <v>247</v>
      </c>
      <c r="F581" s="3" t="s">
        <v>33</v>
      </c>
      <c r="G581" s="3" t="s">
        <v>2410</v>
      </c>
      <c r="H581" s="3" t="s">
        <v>59</v>
      </c>
      <c r="I581" s="3" t="s">
        <v>33</v>
      </c>
      <c r="J581" s="3" t="s">
        <v>21</v>
      </c>
      <c r="K581" s="3" t="s">
        <v>962</v>
      </c>
      <c r="L581" s="3" t="s">
        <v>138</v>
      </c>
      <c r="M581" s="3" t="s">
        <v>962</v>
      </c>
      <c r="N581" s="3" t="s">
        <v>25</v>
      </c>
      <c r="O581" t="str">
        <f>"2025-03-17"</f>
        <v>2025-03-17</v>
      </c>
      <c r="P581" t="str">
        <f>"2026-03-16"</f>
        <v>2026-03-16</v>
      </c>
    </row>
    <row r="582" spans="1:16" x14ac:dyDescent="0.2">
      <c r="A582" t="str" cm="1">
        <f t="array" ref="A582">_xlfn.LET(
    _xlpm.txt, B582,
    _xlpm.chars, MID(_xlpm.txt, _xlfn.SEQUENCE(LEN(_xlpm.txt)), 1),
    _xlpm.filtered, _xlfn._xlws.FILTER(_xlpm.chars, NOT(ISNUMBER(SEARCH(_xlpm.chars, "ABCDEFGHIJKLMNOPQRSTUVWXYZabcdefghijklmnopqrstuvwxyz")))),
    _xlfn.TEXTJOIN("",, _xlpm.filtered)
)</f>
        <v>000871</v>
      </c>
      <c r="B582" s="3" t="s">
        <v>2411</v>
      </c>
      <c r="C582" s="3" t="s">
        <v>2412</v>
      </c>
      <c r="D582" s="4">
        <v>140</v>
      </c>
      <c r="E582" s="3" t="s">
        <v>2413</v>
      </c>
      <c r="F582" s="3" t="s">
        <v>33</v>
      </c>
      <c r="G582" s="3" t="s">
        <v>2414</v>
      </c>
      <c r="H582" s="3" t="s">
        <v>2070</v>
      </c>
      <c r="I582" s="3" t="s">
        <v>33</v>
      </c>
      <c r="J582" s="3" t="s">
        <v>36</v>
      </c>
      <c r="K582" s="3" t="s">
        <v>37</v>
      </c>
      <c r="L582" s="3" t="s">
        <v>38</v>
      </c>
      <c r="M582" s="3" t="s">
        <v>62</v>
      </c>
      <c r="N582" s="3" t="s">
        <v>25</v>
      </c>
      <c r="O582" t="str">
        <f>"2025-03-19"</f>
        <v>2025-03-19</v>
      </c>
      <c r="P582" t="str">
        <f>"2026-03-18"</f>
        <v>2026-03-18</v>
      </c>
    </row>
    <row r="583" spans="1:16" x14ac:dyDescent="0.2">
      <c r="A583" t="str" cm="1">
        <f t="array" ref="A583">_xlfn.LET(
    _xlpm.txt, B583,
    _xlpm.chars, MID(_xlpm.txt, _xlfn.SEQUENCE(LEN(_xlpm.txt)), 1),
    _xlpm.filtered, _xlfn._xlws.FILTER(_xlpm.chars, NOT(ISNUMBER(SEARCH(_xlpm.chars, "ABCDEFGHIJKLMNOPQRSTUVWXYZabcdefghijklmnopqrstuvwxyz")))),
    _xlfn.TEXTJOIN("",, _xlpm.filtered)
)</f>
        <v>000872</v>
      </c>
      <c r="B583" s="3" t="s">
        <v>2415</v>
      </c>
      <c r="C583" s="3" t="s">
        <v>2416</v>
      </c>
      <c r="D583" s="4">
        <v>140</v>
      </c>
      <c r="E583" s="3" t="s">
        <v>2417</v>
      </c>
      <c r="F583" s="3" t="s">
        <v>33</v>
      </c>
      <c r="G583" s="3" t="s">
        <v>2418</v>
      </c>
      <c r="H583" s="3" t="s">
        <v>941</v>
      </c>
      <c r="I583" s="3" t="s">
        <v>33</v>
      </c>
      <c r="J583" s="3" t="s">
        <v>67</v>
      </c>
      <c r="K583" s="3" t="s">
        <v>33</v>
      </c>
      <c r="L583" s="3" t="s">
        <v>2016</v>
      </c>
      <c r="M583" s="3" t="s">
        <v>33</v>
      </c>
      <c r="N583" s="3" t="s">
        <v>25</v>
      </c>
      <c r="O583" t="str">
        <f>"2025-03-20"</f>
        <v>2025-03-20</v>
      </c>
      <c r="P583" t="str">
        <f>"2026-03-19"</f>
        <v>2026-03-19</v>
      </c>
    </row>
    <row r="584" spans="1:16" x14ac:dyDescent="0.2">
      <c r="A584" t="str" cm="1">
        <f t="array" ref="A584">_xlfn.LET(
    _xlpm.txt, B584,
    _xlpm.chars, MID(_xlpm.txt, _xlfn.SEQUENCE(LEN(_xlpm.txt)), 1),
    _xlpm.filtered, _xlfn._xlws.FILTER(_xlpm.chars, NOT(ISNUMBER(SEARCH(_xlpm.chars, "ABCDEFGHIJKLMNOPQRSTUVWXYZabcdefghijklmnopqrstuvwxyz")))),
    _xlfn.TEXTJOIN("",, _xlpm.filtered)
)</f>
        <v>000873</v>
      </c>
      <c r="B584" s="3" t="s">
        <v>2419</v>
      </c>
      <c r="C584" s="3" t="s">
        <v>2420</v>
      </c>
      <c r="D584" s="4">
        <v>150</v>
      </c>
      <c r="E584" s="3" t="s">
        <v>2421</v>
      </c>
      <c r="F584" s="3" t="s">
        <v>33</v>
      </c>
      <c r="G584" s="3" t="s">
        <v>2422</v>
      </c>
      <c r="H584" s="3" t="s">
        <v>35</v>
      </c>
      <c r="I584" s="3" t="s">
        <v>33</v>
      </c>
      <c r="J584" s="3" t="s">
        <v>36</v>
      </c>
      <c r="K584" s="3" t="s">
        <v>33</v>
      </c>
      <c r="L584" s="3" t="s">
        <v>47</v>
      </c>
      <c r="M584" s="3" t="s">
        <v>33</v>
      </c>
      <c r="N584" s="3" t="s">
        <v>25</v>
      </c>
      <c r="O584" t="str">
        <f>"2025-04-05"</f>
        <v>2025-04-05</v>
      </c>
      <c r="P584" t="str">
        <f>"2026-04-04"</f>
        <v>2026-04-04</v>
      </c>
    </row>
    <row r="585" spans="1:16" x14ac:dyDescent="0.2">
      <c r="A585" t="str" cm="1">
        <f t="array" ref="A585">_xlfn.LET(
    _xlpm.txt, B585,
    _xlpm.chars, MID(_xlpm.txt, _xlfn.SEQUENCE(LEN(_xlpm.txt)), 1),
    _xlpm.filtered, _xlfn._xlws.FILTER(_xlpm.chars, NOT(ISNUMBER(SEARCH(_xlpm.chars, "ABCDEFGHIJKLMNOPQRSTUVWXYZabcdefghijklmnopqrstuvwxyz")))),
    _xlfn.TEXTJOIN("",, _xlpm.filtered)
)</f>
        <v>000874</v>
      </c>
      <c r="B585" s="3" t="s">
        <v>2423</v>
      </c>
      <c r="C585" s="3" t="s">
        <v>2424</v>
      </c>
      <c r="D585" s="4">
        <v>140</v>
      </c>
      <c r="E585" s="3" t="s">
        <v>2425</v>
      </c>
      <c r="F585" s="3" t="s">
        <v>33</v>
      </c>
      <c r="G585" s="3" t="s">
        <v>2426</v>
      </c>
      <c r="H585" s="3" t="s">
        <v>842</v>
      </c>
      <c r="I585" s="3" t="s">
        <v>33</v>
      </c>
      <c r="J585" s="3" t="s">
        <v>85</v>
      </c>
      <c r="K585" s="3" t="s">
        <v>2124</v>
      </c>
      <c r="L585" s="3" t="s">
        <v>38</v>
      </c>
      <c r="M585" s="3" t="s">
        <v>62</v>
      </c>
      <c r="N585" s="3" t="s">
        <v>25</v>
      </c>
      <c r="O585" t="str">
        <f>"2025-04-05"</f>
        <v>2025-04-05</v>
      </c>
      <c r="P585" t="str">
        <f>"2026-04-04"</f>
        <v>2026-04-04</v>
      </c>
    </row>
    <row r="586" spans="1:16" x14ac:dyDescent="0.2">
      <c r="A586" t="str" cm="1">
        <f t="array" ref="A586">_xlfn.LET(
    _xlpm.txt, B586,
    _xlpm.chars, MID(_xlpm.txt, _xlfn.SEQUENCE(LEN(_xlpm.txt)), 1),
    _xlpm.filtered, _xlfn._xlws.FILTER(_xlpm.chars, NOT(ISNUMBER(SEARCH(_xlpm.chars, "ABCDEFGHIJKLMNOPQRSTUVWXYZabcdefghijklmnopqrstuvwxyz")))),
    _xlfn.TEXTJOIN("",, _xlpm.filtered)
)</f>
        <v>000875</v>
      </c>
      <c r="B586" s="3" t="s">
        <v>2427</v>
      </c>
      <c r="C586" s="3" t="s">
        <v>2428</v>
      </c>
      <c r="D586" s="4">
        <v>150</v>
      </c>
      <c r="E586" s="3" t="s">
        <v>2429</v>
      </c>
      <c r="F586" s="3" t="s">
        <v>33</v>
      </c>
      <c r="G586" s="3" t="s">
        <v>2430</v>
      </c>
      <c r="H586" s="3" t="s">
        <v>308</v>
      </c>
      <c r="I586" s="3" t="s">
        <v>33</v>
      </c>
      <c r="J586" s="3" t="s">
        <v>36</v>
      </c>
      <c r="K586" s="3" t="s">
        <v>2124</v>
      </c>
      <c r="L586" s="3" t="s">
        <v>38</v>
      </c>
      <c r="M586" s="3" t="s">
        <v>33</v>
      </c>
      <c r="N586" s="3" t="s">
        <v>25</v>
      </c>
      <c r="O586" t="str">
        <f>"2025-04-12"</f>
        <v>2025-04-12</v>
      </c>
      <c r="P586" t="str">
        <f>"2026-04-11"</f>
        <v>2026-04-11</v>
      </c>
    </row>
    <row r="587" spans="1:16" x14ac:dyDescent="0.2">
      <c r="A587" t="str" cm="1">
        <f t="array" ref="A587">_xlfn.LET(
    _xlpm.txt, B587,
    _xlpm.chars, MID(_xlpm.txt, _xlfn.SEQUENCE(LEN(_xlpm.txt)), 1),
    _xlpm.filtered, _xlfn._xlws.FILTER(_xlpm.chars, NOT(ISNUMBER(SEARCH(_xlpm.chars, "ABCDEFGHIJKLMNOPQRSTUVWXYZabcdefghijklmnopqrstuvwxyz")))),
    _xlfn.TEXTJOIN("",, _xlpm.filtered)
)</f>
        <v>000876</v>
      </c>
      <c r="B587" s="3" t="s">
        <v>2431</v>
      </c>
      <c r="C587" s="3" t="s">
        <v>2432</v>
      </c>
      <c r="D587" s="4">
        <v>150</v>
      </c>
      <c r="E587" s="3" t="s">
        <v>2433</v>
      </c>
      <c r="F587" s="3" t="s">
        <v>33</v>
      </c>
      <c r="G587" s="3" t="s">
        <v>2434</v>
      </c>
      <c r="H587" s="3" t="s">
        <v>670</v>
      </c>
      <c r="I587" s="3" t="s">
        <v>33</v>
      </c>
      <c r="J587" s="3" t="s">
        <v>36</v>
      </c>
      <c r="K587" s="3" t="s">
        <v>2124</v>
      </c>
      <c r="L587" s="3" t="s">
        <v>38</v>
      </c>
      <c r="M587" s="3" t="s">
        <v>33</v>
      </c>
      <c r="N587" s="3" t="s">
        <v>25</v>
      </c>
      <c r="O587" t="str">
        <f>"2025-04-15"</f>
        <v>2025-04-15</v>
      </c>
      <c r="P587" t="str">
        <f>"2026-04-14"</f>
        <v>2026-04-14</v>
      </c>
    </row>
    <row r="588" spans="1:16" x14ac:dyDescent="0.2">
      <c r="A588" t="str" cm="1">
        <f t="array" ref="A588">_xlfn.LET(
    _xlpm.txt, B588,
    _xlpm.chars, MID(_xlpm.txt, _xlfn.SEQUENCE(LEN(_xlpm.txt)), 1),
    _xlpm.filtered, _xlfn._xlws.FILTER(_xlpm.chars, NOT(ISNUMBER(SEARCH(_xlpm.chars, "ABCDEFGHIJKLMNOPQRSTUVWXYZabcdefghijklmnopqrstuvwxyz")))),
    _xlfn.TEXTJOIN("",, _xlpm.filtered)
)</f>
        <v>000877</v>
      </c>
      <c r="B588" s="3" t="s">
        <v>2435</v>
      </c>
      <c r="C588" s="3" t="s">
        <v>2436</v>
      </c>
      <c r="D588" s="4">
        <v>180</v>
      </c>
      <c r="E588" s="3" t="s">
        <v>2437</v>
      </c>
      <c r="F588" s="3" t="s">
        <v>33</v>
      </c>
      <c r="G588" s="3" t="s">
        <v>2438</v>
      </c>
      <c r="H588" s="3" t="s">
        <v>264</v>
      </c>
      <c r="I588" s="3" t="s">
        <v>33</v>
      </c>
      <c r="J588" s="3" t="s">
        <v>85</v>
      </c>
      <c r="K588" s="3" t="s">
        <v>2439</v>
      </c>
      <c r="L588" s="3" t="s">
        <v>271</v>
      </c>
      <c r="M588" s="3" t="s">
        <v>2058</v>
      </c>
      <c r="N588" s="3" t="s">
        <v>25</v>
      </c>
      <c r="O588" t="str">
        <f>"2025-05-01"</f>
        <v>2025-05-01</v>
      </c>
      <c r="P588" t="str">
        <f>"2026-04-30"</f>
        <v>2026-04-30</v>
      </c>
    </row>
    <row r="589" spans="1:16" x14ac:dyDescent="0.2">
      <c r="A589" t="str" cm="1">
        <f t="array" ref="A589">_xlfn.LET(
    _xlpm.txt, B589,
    _xlpm.chars, MID(_xlpm.txt, _xlfn.SEQUENCE(LEN(_xlpm.txt)), 1),
    _xlpm.filtered, _xlfn._xlws.FILTER(_xlpm.chars, NOT(ISNUMBER(SEARCH(_xlpm.chars, "ABCDEFGHIJKLMNOPQRSTUVWXYZabcdefghijklmnopqrstuvwxyz")))),
    _xlfn.TEXTJOIN("",, _xlpm.filtered)
)</f>
        <v>000878</v>
      </c>
      <c r="B589" s="3" t="s">
        <v>2440</v>
      </c>
      <c r="C589" s="3" t="s">
        <v>2441</v>
      </c>
      <c r="D589" s="4">
        <v>0</v>
      </c>
      <c r="E589" s="3" t="s">
        <v>491</v>
      </c>
      <c r="F589" s="3" t="s">
        <v>33</v>
      </c>
      <c r="G589" s="3" t="s">
        <v>2442</v>
      </c>
      <c r="H589" s="3" t="s">
        <v>418</v>
      </c>
      <c r="I589" s="3" t="s">
        <v>33</v>
      </c>
      <c r="J589" s="3" t="s">
        <v>67</v>
      </c>
      <c r="K589" s="3" t="s">
        <v>517</v>
      </c>
      <c r="L589" s="3" t="s">
        <v>2016</v>
      </c>
      <c r="M589" s="3" t="s">
        <v>2029</v>
      </c>
      <c r="N589" s="3" t="s">
        <v>273</v>
      </c>
      <c r="O589" t="str">
        <f>"2025-04-28"</f>
        <v>2025-04-28</v>
      </c>
      <c r="P589" t="str">
        <f>"2026-04-27"</f>
        <v>2026-04-27</v>
      </c>
    </row>
    <row r="590" spans="1:16" x14ac:dyDescent="0.2">
      <c r="A590" t="str" cm="1">
        <f t="array" ref="A590">_xlfn.LET(
    _xlpm.txt, B590,
    _xlpm.chars, MID(_xlpm.txt, _xlfn.SEQUENCE(LEN(_xlpm.txt)), 1),
    _xlpm.filtered, _xlfn._xlws.FILTER(_xlpm.chars, NOT(ISNUMBER(SEARCH(_xlpm.chars, "ABCDEFGHIJKLMNOPQRSTUVWXYZabcdefghijklmnopqrstuvwxyz")))),
    _xlfn.TEXTJOIN("",, _xlpm.filtered)
)</f>
        <v>000879</v>
      </c>
      <c r="B590" s="3" t="s">
        <v>2443</v>
      </c>
      <c r="C590" s="3" t="s">
        <v>2444</v>
      </c>
      <c r="D590" s="4">
        <v>300</v>
      </c>
      <c r="E590" s="3" t="s">
        <v>2445</v>
      </c>
      <c r="F590" s="3" t="s">
        <v>2446</v>
      </c>
      <c r="G590" s="3" t="s">
        <v>2447</v>
      </c>
      <c r="H590" s="3" t="s">
        <v>308</v>
      </c>
      <c r="I590" s="3" t="s">
        <v>33</v>
      </c>
      <c r="J590" s="3" t="s">
        <v>36</v>
      </c>
      <c r="K590" s="3" t="s">
        <v>37</v>
      </c>
      <c r="L590" s="3" t="s">
        <v>2016</v>
      </c>
      <c r="M590" s="3" t="s">
        <v>2058</v>
      </c>
      <c r="N590" s="3" t="s">
        <v>25</v>
      </c>
      <c r="O590" t="str">
        <f>"2025-05-08"</f>
        <v>2025-05-08</v>
      </c>
      <c r="P590" t="str">
        <f>"2026-05-07"</f>
        <v>2026-05-07</v>
      </c>
    </row>
    <row r="591" spans="1:16" x14ac:dyDescent="0.2">
      <c r="A591" t="str" cm="1">
        <f t="array" ref="A591">_xlfn.LET(
    _xlpm.txt, B591,
    _xlpm.chars, MID(_xlpm.txt, _xlfn.SEQUENCE(LEN(_xlpm.txt)), 1),
    _xlpm.filtered, _xlfn._xlws.FILTER(_xlpm.chars, NOT(ISNUMBER(SEARCH(_xlpm.chars, "ABCDEFGHIJKLMNOPQRSTUVWXYZabcdefghijklmnopqrstuvwxyz")))),
    _xlfn.TEXTJOIN("",, _xlpm.filtered)
)</f>
        <v>000880</v>
      </c>
      <c r="B591" s="3" t="s">
        <v>2448</v>
      </c>
      <c r="C591" s="3" t="s">
        <v>2449</v>
      </c>
      <c r="D591" s="4">
        <v>165</v>
      </c>
      <c r="E591" s="3" t="s">
        <v>2450</v>
      </c>
      <c r="F591" s="3" t="s">
        <v>33</v>
      </c>
      <c r="G591" s="3" t="s">
        <v>2451</v>
      </c>
      <c r="H591" s="3" t="s">
        <v>1388</v>
      </c>
      <c r="I591" s="3" t="s">
        <v>33</v>
      </c>
      <c r="J591" s="3" t="s">
        <v>36</v>
      </c>
      <c r="K591" s="3" t="s">
        <v>33</v>
      </c>
      <c r="L591" s="3" t="s">
        <v>2196</v>
      </c>
      <c r="M591" s="3" t="s">
        <v>2058</v>
      </c>
      <c r="N591" s="3" t="s">
        <v>25</v>
      </c>
      <c r="O591" t="str">
        <f>"2025-05-10"</f>
        <v>2025-05-10</v>
      </c>
      <c r="P591" t="str">
        <f>"2026-05-09"</f>
        <v>2026-05-09</v>
      </c>
    </row>
    <row r="592" spans="1:16" x14ac:dyDescent="0.2">
      <c r="A592" t="str" cm="1">
        <f t="array" ref="A592">_xlfn.LET(
    _xlpm.txt, B592,
    _xlpm.chars, MID(_xlpm.txt, _xlfn.SEQUENCE(LEN(_xlpm.txt)), 1),
    _xlpm.filtered, _xlfn._xlws.FILTER(_xlpm.chars, NOT(ISNUMBER(SEARCH(_xlpm.chars, "ABCDEFGHIJKLMNOPQRSTUVWXYZabcdefghijklmnopqrstuvwxyz")))),
    _xlfn.TEXTJOIN("",, _xlpm.filtered)
)</f>
        <v>000881</v>
      </c>
      <c r="B592" s="3" t="s">
        <v>2452</v>
      </c>
      <c r="C592" s="3" t="s">
        <v>2453</v>
      </c>
      <c r="D592" s="4">
        <v>130</v>
      </c>
      <c r="E592" s="3" t="s">
        <v>2454</v>
      </c>
      <c r="F592" s="3" t="s">
        <v>33</v>
      </c>
      <c r="G592" s="3" t="s">
        <v>2455</v>
      </c>
      <c r="H592" s="3" t="s">
        <v>487</v>
      </c>
      <c r="I592" s="3" t="s">
        <v>33</v>
      </c>
      <c r="J592" s="3" t="s">
        <v>67</v>
      </c>
      <c r="K592" s="3" t="s">
        <v>33</v>
      </c>
      <c r="L592" s="3" t="s">
        <v>2016</v>
      </c>
      <c r="M592" s="3" t="s">
        <v>33</v>
      </c>
      <c r="N592" s="3" t="s">
        <v>25</v>
      </c>
      <c r="O592" t="str">
        <f>"2025-05-11"</f>
        <v>2025-05-11</v>
      </c>
      <c r="P592" t="str">
        <f>"2026-05-10"</f>
        <v>2026-05-10</v>
      </c>
    </row>
    <row r="593" spans="1:16" x14ac:dyDescent="0.2">
      <c r="A593" t="str" cm="1">
        <f t="array" ref="A593">_xlfn.LET(
    _xlpm.txt, B593,
    _xlpm.chars, MID(_xlpm.txt, _xlfn.SEQUENCE(LEN(_xlpm.txt)), 1),
    _xlpm.filtered, _xlfn._xlws.FILTER(_xlpm.chars, NOT(ISNUMBER(SEARCH(_xlpm.chars, "ABCDEFGHIJKLMNOPQRSTUVWXYZabcdefghijklmnopqrstuvwxyz")))),
    _xlfn.TEXTJOIN("",, _xlpm.filtered)
)</f>
        <v>000882</v>
      </c>
      <c r="B593" s="3" t="s">
        <v>2456</v>
      </c>
      <c r="C593" s="3" t="s">
        <v>2457</v>
      </c>
      <c r="D593" s="4">
        <v>150</v>
      </c>
      <c r="E593" s="3" t="s">
        <v>2458</v>
      </c>
      <c r="F593" s="3" t="s">
        <v>2459</v>
      </c>
      <c r="G593" s="3" t="s">
        <v>2460</v>
      </c>
      <c r="H593" s="3" t="s">
        <v>928</v>
      </c>
      <c r="I593" s="3" t="s">
        <v>33</v>
      </c>
      <c r="J593" s="3" t="s">
        <v>67</v>
      </c>
      <c r="K593" s="3" t="s">
        <v>37</v>
      </c>
      <c r="L593" s="3" t="s">
        <v>2016</v>
      </c>
      <c r="M593" s="3" t="s">
        <v>24</v>
      </c>
      <c r="N593" s="3" t="s">
        <v>25</v>
      </c>
      <c r="O593" t="str">
        <f>"2025-05-15"</f>
        <v>2025-05-15</v>
      </c>
      <c r="P593" t="str">
        <f>"2026-05-14"</f>
        <v>2026-05-14</v>
      </c>
    </row>
    <row r="594" spans="1:16" x14ac:dyDescent="0.2">
      <c r="A594" t="str" cm="1">
        <f t="array" ref="A594">_xlfn.LET(
    _xlpm.txt, B594,
    _xlpm.chars, MID(_xlpm.txt, _xlfn.SEQUENCE(LEN(_xlpm.txt)), 1),
    _xlpm.filtered, _xlfn._xlws.FILTER(_xlpm.chars, NOT(ISNUMBER(SEARCH(_xlpm.chars, "ABCDEFGHIJKLMNOPQRSTUVWXYZabcdefghijklmnopqrstuvwxyz")))),
    _xlfn.TEXTJOIN("",, _xlpm.filtered)
)</f>
        <v>000884</v>
      </c>
      <c r="B594" s="3" t="s">
        <v>2461</v>
      </c>
      <c r="C594" s="3" t="s">
        <v>1222</v>
      </c>
      <c r="D594" s="4">
        <v>580</v>
      </c>
      <c r="E594" s="3" t="s">
        <v>1219</v>
      </c>
      <c r="F594" s="3" t="s">
        <v>33</v>
      </c>
      <c r="G594" s="3" t="s">
        <v>2462</v>
      </c>
      <c r="H594" s="3" t="s">
        <v>1122</v>
      </c>
      <c r="I594" s="3" t="s">
        <v>33</v>
      </c>
      <c r="J594" s="3" t="s">
        <v>60</v>
      </c>
      <c r="K594" s="3" t="s">
        <v>174</v>
      </c>
      <c r="L594" s="3" t="s">
        <v>33</v>
      </c>
      <c r="M594" s="3" t="s">
        <v>2463</v>
      </c>
      <c r="N594" s="3" t="s">
        <v>25</v>
      </c>
      <c r="O594" t="str">
        <f>"2025-05-20"</f>
        <v>2025-05-20</v>
      </c>
      <c r="P594" t="str">
        <f>"2026-05-19"</f>
        <v>2026-05-19</v>
      </c>
    </row>
    <row r="595" spans="1:16" x14ac:dyDescent="0.2">
      <c r="A595" t="str" cm="1">
        <f t="array" ref="A595">_xlfn.LET(
    _xlpm.txt, B595,
    _xlpm.chars, MID(_xlpm.txt, _xlfn.SEQUENCE(LEN(_xlpm.txt)), 1),
    _xlpm.filtered, _xlfn._xlws.FILTER(_xlpm.chars, NOT(ISNUMBER(SEARCH(_xlpm.chars, "ABCDEFGHIJKLMNOPQRSTUVWXYZabcdefghijklmnopqrstuvwxyz")))),
    _xlfn.TEXTJOIN("",, _xlpm.filtered)
)</f>
        <v>000885</v>
      </c>
      <c r="B595" s="3" t="s">
        <v>2464</v>
      </c>
      <c r="C595" s="3" t="s">
        <v>2465</v>
      </c>
      <c r="D595" s="4">
        <v>150</v>
      </c>
      <c r="E595" s="3" t="s">
        <v>2466</v>
      </c>
      <c r="F595" s="3" t="s">
        <v>33</v>
      </c>
      <c r="G595" s="3" t="s">
        <v>2467</v>
      </c>
      <c r="H595" s="3" t="s">
        <v>195</v>
      </c>
      <c r="I595" s="3" t="s">
        <v>33</v>
      </c>
      <c r="J595" s="3" t="s">
        <v>36</v>
      </c>
      <c r="K595" s="3" t="s">
        <v>37</v>
      </c>
      <c r="L595" s="3" t="s">
        <v>2016</v>
      </c>
      <c r="M595" s="3" t="s">
        <v>2058</v>
      </c>
      <c r="N595" s="3" t="s">
        <v>25</v>
      </c>
      <c r="O595" t="str">
        <f>"2025-06-01"</f>
        <v>2025-06-01</v>
      </c>
      <c r="P595" t="str">
        <f>"2026-05-31"</f>
        <v>2026-05-31</v>
      </c>
    </row>
    <row r="596" spans="1:16" x14ac:dyDescent="0.2">
      <c r="A596" t="str" cm="1">
        <f t="array" ref="A596">_xlfn.LET(
    _xlpm.txt, B596,
    _xlpm.chars, MID(_xlpm.txt, _xlfn.SEQUENCE(LEN(_xlpm.txt)), 1),
    _xlpm.filtered, _xlfn._xlws.FILTER(_xlpm.chars, NOT(ISNUMBER(SEARCH(_xlpm.chars, "ABCDEFGHIJKLMNOPQRSTUVWXYZabcdefghijklmnopqrstuvwxyz")))),
    _xlfn.TEXTJOIN("",, _xlpm.filtered)
)</f>
        <v>000886</v>
      </c>
      <c r="B596" s="3" t="s">
        <v>2468</v>
      </c>
      <c r="C596" s="3" t="s">
        <v>2469</v>
      </c>
      <c r="D596" s="4">
        <v>110</v>
      </c>
      <c r="E596" s="3" t="s">
        <v>2470</v>
      </c>
      <c r="F596" s="3" t="s">
        <v>33</v>
      </c>
      <c r="G596" s="3" t="s">
        <v>2471</v>
      </c>
      <c r="H596" s="3" t="s">
        <v>487</v>
      </c>
      <c r="I596" s="3" t="s">
        <v>33</v>
      </c>
      <c r="J596" s="3" t="s">
        <v>36</v>
      </c>
      <c r="K596" s="3" t="s">
        <v>2124</v>
      </c>
      <c r="L596" s="3" t="s">
        <v>2016</v>
      </c>
      <c r="M596" s="3" t="s">
        <v>2319</v>
      </c>
      <c r="N596" s="3" t="s">
        <v>273</v>
      </c>
      <c r="O596" t="str">
        <f>"2025-06-01"</f>
        <v>2025-06-01</v>
      </c>
      <c r="P596" t="str">
        <f>"2026-05-31"</f>
        <v>2026-05-31</v>
      </c>
    </row>
    <row r="597" spans="1:16" x14ac:dyDescent="0.2">
      <c r="A597" t="str" cm="1">
        <f t="array" ref="A597">_xlfn.LET(
    _xlpm.txt, B597,
    _xlpm.chars, MID(_xlpm.txt, _xlfn.SEQUENCE(LEN(_xlpm.txt)), 1),
    _xlpm.filtered, _xlfn._xlws.FILTER(_xlpm.chars, NOT(ISNUMBER(SEARCH(_xlpm.chars, "ABCDEFGHIJKLMNOPQRSTUVWXYZabcdefghijklmnopqrstuvwxyz")))),
    _xlfn.TEXTJOIN("",, _xlpm.filtered)
)</f>
        <v>000887</v>
      </c>
      <c r="B597" s="3" t="s">
        <v>2472</v>
      </c>
      <c r="C597" s="3" t="s">
        <v>2469</v>
      </c>
      <c r="D597" s="4">
        <v>120</v>
      </c>
      <c r="E597" s="3" t="s">
        <v>2470</v>
      </c>
      <c r="F597" s="3" t="s">
        <v>2473</v>
      </c>
      <c r="G597" s="3" t="s">
        <v>2474</v>
      </c>
      <c r="H597" s="3" t="s">
        <v>1256</v>
      </c>
      <c r="I597" s="3" t="s">
        <v>33</v>
      </c>
      <c r="J597" s="3" t="s">
        <v>67</v>
      </c>
      <c r="K597" s="3" t="s">
        <v>37</v>
      </c>
      <c r="L597" s="3" t="s">
        <v>2016</v>
      </c>
      <c r="M597" s="3" t="s">
        <v>164</v>
      </c>
      <c r="N597" s="3" t="s">
        <v>273</v>
      </c>
      <c r="O597" t="str">
        <f>"2025-06-01"</f>
        <v>2025-06-01</v>
      </c>
      <c r="P597" t="str">
        <f>"2026-05-31"</f>
        <v>2026-05-31</v>
      </c>
    </row>
    <row r="598" spans="1:16" x14ac:dyDescent="0.2">
      <c r="A598" t="str" cm="1">
        <f t="array" ref="A598">_xlfn.LET(
    _xlpm.txt, B598,
    _xlpm.chars, MID(_xlpm.txt, _xlfn.SEQUENCE(LEN(_xlpm.txt)), 1),
    _xlpm.filtered, _xlfn._xlws.FILTER(_xlpm.chars, NOT(ISNUMBER(SEARCH(_xlpm.chars, "ABCDEFGHIJKLMNOPQRSTUVWXYZabcdefghijklmnopqrstuvwxyz")))),
    _xlfn.TEXTJOIN("",, _xlpm.filtered)
)</f>
        <v>000888</v>
      </c>
      <c r="B598" s="3" t="s">
        <v>2475</v>
      </c>
      <c r="C598" s="3" t="s">
        <v>2476</v>
      </c>
      <c r="D598" s="4">
        <v>360</v>
      </c>
      <c r="E598" s="3" t="s">
        <v>2477</v>
      </c>
      <c r="F598" s="3" t="s">
        <v>2478</v>
      </c>
      <c r="G598" s="3" t="s">
        <v>2479</v>
      </c>
      <c r="H598" s="3" t="s">
        <v>84</v>
      </c>
      <c r="I598" s="3" t="s">
        <v>33</v>
      </c>
      <c r="J598" s="3" t="s">
        <v>73</v>
      </c>
      <c r="K598" s="3" t="s">
        <v>2124</v>
      </c>
      <c r="L598" s="3" t="s">
        <v>2016</v>
      </c>
      <c r="M598" s="3" t="s">
        <v>2058</v>
      </c>
      <c r="N598" s="3" t="s">
        <v>25</v>
      </c>
      <c r="O598" t="str">
        <f>"2025-06-01"</f>
        <v>2025-06-01</v>
      </c>
      <c r="P598" t="str">
        <f>"2026-05-31"</f>
        <v>2026-05-31</v>
      </c>
    </row>
    <row r="599" spans="1:16" x14ac:dyDescent="0.2">
      <c r="A599" t="str" cm="1">
        <f t="array" ref="A599">_xlfn.LET(
    _xlpm.txt, B599,
    _xlpm.chars, MID(_xlpm.txt, _xlfn.SEQUENCE(LEN(_xlpm.txt)), 1),
    _xlpm.filtered, _xlfn._xlws.FILTER(_xlpm.chars, NOT(ISNUMBER(SEARCH(_xlpm.chars, "ABCDEFGHIJKLMNOPQRSTUVWXYZabcdefghijklmnopqrstuvwxyz")))),
    _xlfn.TEXTJOIN("",, _xlpm.filtered)
)</f>
        <v>000889</v>
      </c>
      <c r="B599" s="3" t="s">
        <v>2480</v>
      </c>
      <c r="C599" s="3" t="s">
        <v>2481</v>
      </c>
      <c r="D599" s="4">
        <v>100</v>
      </c>
      <c r="E599" s="3" t="s">
        <v>2482</v>
      </c>
      <c r="F599" s="3" t="s">
        <v>2483</v>
      </c>
      <c r="G599" s="3" t="s">
        <v>2484</v>
      </c>
      <c r="H599" s="3" t="s">
        <v>400</v>
      </c>
      <c r="I599" s="3" t="s">
        <v>33</v>
      </c>
      <c r="J599" s="3" t="s">
        <v>511</v>
      </c>
      <c r="K599" s="3" t="s">
        <v>33</v>
      </c>
      <c r="L599" s="3" t="s">
        <v>2485</v>
      </c>
      <c r="M599" s="3" t="s">
        <v>33</v>
      </c>
      <c r="N599" s="3" t="s">
        <v>273</v>
      </c>
      <c r="O599" t="str">
        <f>"2025-06-02"</f>
        <v>2025-06-02</v>
      </c>
      <c r="P599" t="str">
        <f>"2026-06-01"</f>
        <v>2026-06-01</v>
      </c>
    </row>
    <row r="600" spans="1:16" x14ac:dyDescent="0.2">
      <c r="A600" t="str" cm="1">
        <f t="array" ref="A600">_xlfn.LET(
    _xlpm.txt, B600,
    _xlpm.chars, MID(_xlpm.txt, _xlfn.SEQUENCE(LEN(_xlpm.txt)), 1),
    _xlpm.filtered, _xlfn._xlws.FILTER(_xlpm.chars, NOT(ISNUMBER(SEARCH(_xlpm.chars, "ABCDEFGHIJKLMNOPQRSTUVWXYZabcdefghijklmnopqrstuvwxyz")))),
    _xlfn.TEXTJOIN("",, _xlpm.filtered)
)</f>
        <v>000890</v>
      </c>
      <c r="B600" s="3" t="s">
        <v>2486</v>
      </c>
      <c r="C600" s="3" t="s">
        <v>2487</v>
      </c>
      <c r="D600" s="4">
        <v>550</v>
      </c>
      <c r="E600" s="3" t="s">
        <v>2488</v>
      </c>
      <c r="F600" s="3" t="s">
        <v>2489</v>
      </c>
      <c r="G600" s="3" t="s">
        <v>2490</v>
      </c>
      <c r="H600" s="3" t="s">
        <v>354</v>
      </c>
      <c r="I600" s="3" t="s">
        <v>33</v>
      </c>
      <c r="J600" s="3" t="s">
        <v>1286</v>
      </c>
      <c r="K600" s="3" t="s">
        <v>998</v>
      </c>
      <c r="L600" s="3" t="s">
        <v>156</v>
      </c>
      <c r="M600" s="3" t="s">
        <v>998</v>
      </c>
      <c r="N600" s="3" t="s">
        <v>25</v>
      </c>
      <c r="O600" t="str">
        <f>"2025-09-03"</f>
        <v>2025-09-03</v>
      </c>
      <c r="P600" t="str">
        <f>"2026-09-02"</f>
        <v>2026-09-02</v>
      </c>
    </row>
    <row r="601" spans="1:16" x14ac:dyDescent="0.2">
      <c r="A601" t="str" cm="1">
        <f t="array" ref="A601">_xlfn.LET(
    _xlpm.txt, B601,
    _xlpm.chars, MID(_xlpm.txt, _xlfn.SEQUENCE(LEN(_xlpm.txt)), 1),
    _xlpm.filtered, _xlfn._xlws.FILTER(_xlpm.chars, NOT(ISNUMBER(SEARCH(_xlpm.chars, "ABCDEFGHIJKLMNOPQRSTUVWXYZabcdefghijklmnopqrstuvwxyz")))),
    _xlfn.TEXTJOIN("",, _xlpm.filtered)
)</f>
        <v>000891</v>
      </c>
      <c r="B601" s="3" t="s">
        <v>2491</v>
      </c>
      <c r="C601" s="3" t="s">
        <v>2492</v>
      </c>
      <c r="D601" s="4">
        <v>250</v>
      </c>
      <c r="E601" s="3" t="s">
        <v>2493</v>
      </c>
      <c r="F601" s="3" t="s">
        <v>33</v>
      </c>
      <c r="G601" s="3" t="s">
        <v>2494</v>
      </c>
      <c r="H601" s="3" t="s">
        <v>2070</v>
      </c>
      <c r="I601" s="3" t="s">
        <v>33</v>
      </c>
      <c r="J601" s="3" t="s">
        <v>85</v>
      </c>
      <c r="K601" s="3" t="s">
        <v>2495</v>
      </c>
      <c r="L601" s="3" t="s">
        <v>1521</v>
      </c>
      <c r="M601" s="3" t="s">
        <v>2496</v>
      </c>
      <c r="N601" s="3" t="s">
        <v>25</v>
      </c>
      <c r="O601" t="str">
        <f>"2025-06-19"</f>
        <v>2025-06-19</v>
      </c>
      <c r="P601" t="str">
        <f>"2026-06-18"</f>
        <v>2026-06-18</v>
      </c>
    </row>
    <row r="602" spans="1:16" x14ac:dyDescent="0.2">
      <c r="A602" t="str" cm="1">
        <f t="array" ref="A602">_xlfn.LET(
    _xlpm.txt, B602,
    _xlpm.chars, MID(_xlpm.txt, _xlfn.SEQUENCE(LEN(_xlpm.txt)), 1),
    _xlpm.filtered, _xlfn._xlws.FILTER(_xlpm.chars, NOT(ISNUMBER(SEARCH(_xlpm.chars, "ABCDEFGHIJKLMNOPQRSTUVWXYZabcdefghijklmnopqrstuvwxyz")))),
    _xlfn.TEXTJOIN("",, _xlpm.filtered)
)</f>
        <v>000892</v>
      </c>
      <c r="B602" s="3" t="s">
        <v>2497</v>
      </c>
      <c r="C602" s="3" t="s">
        <v>2498</v>
      </c>
      <c r="D602" s="4">
        <v>400</v>
      </c>
      <c r="E602" s="3" t="s">
        <v>1053</v>
      </c>
      <c r="F602" s="3" t="s">
        <v>33</v>
      </c>
      <c r="G602" s="3" t="s">
        <v>2499</v>
      </c>
      <c r="H602" s="3" t="s">
        <v>1021</v>
      </c>
      <c r="I602" s="3" t="s">
        <v>33</v>
      </c>
      <c r="J602" s="3" t="s">
        <v>36</v>
      </c>
      <c r="K602" s="3" t="s">
        <v>2500</v>
      </c>
      <c r="L602" s="3" t="s">
        <v>271</v>
      </c>
      <c r="M602" s="3" t="s">
        <v>2017</v>
      </c>
      <c r="N602" s="3" t="s">
        <v>25</v>
      </c>
      <c r="O602" t="str">
        <f>"2025-06-23"</f>
        <v>2025-06-23</v>
      </c>
      <c r="P602" t="str">
        <f>"2026-06-22"</f>
        <v>2026-06-22</v>
      </c>
    </row>
    <row r="603" spans="1:16" x14ac:dyDescent="0.2">
      <c r="A603" t="str" cm="1">
        <f t="array" ref="A603">_xlfn.LET(
    _xlpm.txt, B603,
    _xlpm.chars, MID(_xlpm.txt, _xlfn.SEQUENCE(LEN(_xlpm.txt)), 1),
    _xlpm.filtered, _xlfn._xlws.FILTER(_xlpm.chars, NOT(ISNUMBER(SEARCH(_xlpm.chars, "ABCDEFGHIJKLMNOPQRSTUVWXYZabcdefghijklmnopqrstuvwxyz")))),
    _xlfn.TEXTJOIN("",, _xlpm.filtered)
)</f>
        <v>000893</v>
      </c>
      <c r="B603" s="3" t="s">
        <v>2501</v>
      </c>
      <c r="C603" s="3" t="s">
        <v>1453</v>
      </c>
      <c r="D603" s="4">
        <v>350</v>
      </c>
      <c r="E603" s="3" t="s">
        <v>1053</v>
      </c>
      <c r="F603" s="3" t="s">
        <v>2502</v>
      </c>
      <c r="G603" s="3" t="s">
        <v>2503</v>
      </c>
      <c r="H603" s="3" t="s">
        <v>84</v>
      </c>
      <c r="I603" s="3" t="s">
        <v>33</v>
      </c>
      <c r="J603" s="3" t="s">
        <v>119</v>
      </c>
      <c r="K603" s="3" t="s">
        <v>2504</v>
      </c>
      <c r="L603" s="3" t="s">
        <v>2016</v>
      </c>
      <c r="M603" s="3" t="s">
        <v>2319</v>
      </c>
      <c r="N603" s="3" t="s">
        <v>25</v>
      </c>
      <c r="O603" t="str">
        <f>"2025-07-01"</f>
        <v>2025-07-01</v>
      </c>
      <c r="P603" t="str">
        <f>"2026-06-30"</f>
        <v>2026-06-30</v>
      </c>
    </row>
    <row r="604" spans="1:16" x14ac:dyDescent="0.2">
      <c r="A604" t="str" cm="1">
        <f t="array" ref="A604">_xlfn.LET(
    _xlpm.txt, B604,
    _xlpm.chars, MID(_xlpm.txt, _xlfn.SEQUENCE(LEN(_xlpm.txt)), 1),
    _xlpm.filtered, _xlfn._xlws.FILTER(_xlpm.chars, NOT(ISNUMBER(SEARCH(_xlpm.chars, "ABCDEFGHIJKLMNOPQRSTUVWXYZabcdefghijklmnopqrstuvwxyz")))),
    _xlfn.TEXTJOIN("",, _xlpm.filtered)
)</f>
        <v>000894</v>
      </c>
      <c r="B604" s="3" t="s">
        <v>2505</v>
      </c>
      <c r="C604" s="3" t="s">
        <v>2506</v>
      </c>
      <c r="D604" s="4">
        <v>0</v>
      </c>
      <c r="E604" s="3" t="s">
        <v>2507</v>
      </c>
      <c r="F604" s="3" t="s">
        <v>33</v>
      </c>
      <c r="G604" s="3" t="s">
        <v>2508</v>
      </c>
      <c r="H604" s="3" t="s">
        <v>2192</v>
      </c>
      <c r="I604" s="3" t="s">
        <v>33</v>
      </c>
      <c r="J604" s="3" t="s">
        <v>36</v>
      </c>
      <c r="K604" s="3" t="s">
        <v>2124</v>
      </c>
      <c r="L604" s="3" t="s">
        <v>2016</v>
      </c>
      <c r="M604" s="3" t="s">
        <v>2169</v>
      </c>
      <c r="N604" s="3" t="s">
        <v>273</v>
      </c>
      <c r="O604" t="str">
        <f>"2025-07-01"</f>
        <v>2025-07-01</v>
      </c>
      <c r="P604" t="str">
        <f>"2027-06-30"</f>
        <v>2027-06-30</v>
      </c>
    </row>
    <row r="605" spans="1:16" x14ac:dyDescent="0.2">
      <c r="A605" t="str" cm="1">
        <f t="array" ref="A605">_xlfn.LET(
    _xlpm.txt, B605,
    _xlpm.chars, MID(_xlpm.txt, _xlfn.SEQUENCE(LEN(_xlpm.txt)), 1),
    _xlpm.filtered, _xlfn._xlws.FILTER(_xlpm.chars, NOT(ISNUMBER(SEARCH(_xlpm.chars, "ABCDEFGHIJKLMNOPQRSTUVWXYZabcdefghijklmnopqrstuvwxyz")))),
    _xlfn.TEXTJOIN("",, _xlpm.filtered)
)</f>
        <v>000895</v>
      </c>
      <c r="B605" s="3" t="s">
        <v>2509</v>
      </c>
      <c r="C605" s="3" t="s">
        <v>1005</v>
      </c>
      <c r="D605" s="4">
        <v>450</v>
      </c>
      <c r="E605" s="3" t="s">
        <v>1006</v>
      </c>
      <c r="F605" s="3" t="s">
        <v>2510</v>
      </c>
      <c r="G605" s="3" t="s">
        <v>2511</v>
      </c>
      <c r="H605" s="3" t="s">
        <v>945</v>
      </c>
      <c r="I605" s="3" t="s">
        <v>33</v>
      </c>
      <c r="J605" s="3" t="s">
        <v>119</v>
      </c>
      <c r="K605" s="3" t="s">
        <v>2500</v>
      </c>
      <c r="L605" s="3" t="s">
        <v>271</v>
      </c>
      <c r="M605" s="3" t="s">
        <v>2512</v>
      </c>
      <c r="N605" s="3" t="s">
        <v>25</v>
      </c>
      <c r="O605" t="str">
        <f>"2025-07-03"</f>
        <v>2025-07-03</v>
      </c>
      <c r="P605" t="str">
        <f>"2026-07-02"</f>
        <v>2026-07-02</v>
      </c>
    </row>
    <row r="606" spans="1:16" x14ac:dyDescent="0.2">
      <c r="A606" t="str" cm="1">
        <f t="array" ref="A606">_xlfn.LET(
    _xlpm.txt, B606,
    _xlpm.chars, MID(_xlpm.txt, _xlfn.SEQUENCE(LEN(_xlpm.txt)), 1),
    _xlpm.filtered, _xlfn._xlws.FILTER(_xlpm.chars, NOT(ISNUMBER(SEARCH(_xlpm.chars, "ABCDEFGHIJKLMNOPQRSTUVWXYZabcdefghijklmnopqrstuvwxyz")))),
    _xlfn.TEXTJOIN("",, _xlpm.filtered)
)</f>
        <v>000896</v>
      </c>
      <c r="B606" s="3" t="s">
        <v>2513</v>
      </c>
      <c r="C606" s="3" t="s">
        <v>2514</v>
      </c>
      <c r="D606" s="4">
        <v>0</v>
      </c>
      <c r="E606" s="3" t="s">
        <v>2515</v>
      </c>
      <c r="F606" s="3" t="s">
        <v>33</v>
      </c>
      <c r="G606" s="3" t="s">
        <v>2516</v>
      </c>
      <c r="H606" s="3" t="s">
        <v>2192</v>
      </c>
      <c r="I606" s="3" t="s">
        <v>33</v>
      </c>
      <c r="J606" s="3" t="s">
        <v>67</v>
      </c>
      <c r="K606" s="3" t="s">
        <v>2124</v>
      </c>
      <c r="L606" s="3" t="s">
        <v>2016</v>
      </c>
      <c r="M606" s="3" t="s">
        <v>2017</v>
      </c>
      <c r="N606" s="3" t="s">
        <v>25</v>
      </c>
      <c r="O606" t="str">
        <f>"2025-07-09"</f>
        <v>2025-07-09</v>
      </c>
      <c r="P606" t="str">
        <f>"2026-07-08"</f>
        <v>2026-07-08</v>
      </c>
    </row>
    <row r="607" spans="1:16" x14ac:dyDescent="0.2">
      <c r="A607" t="str" cm="1">
        <f t="array" ref="A607">_xlfn.LET(
    _xlpm.txt, B607,
    _xlpm.chars, MID(_xlpm.txt, _xlfn.SEQUENCE(LEN(_xlpm.txt)), 1),
    _xlpm.filtered, _xlfn._xlws.FILTER(_xlpm.chars, NOT(ISNUMBER(SEARCH(_xlpm.chars, "ABCDEFGHIJKLMNOPQRSTUVWXYZabcdefghijklmnopqrstuvwxyz")))),
    _xlfn.TEXTJOIN("",, _xlpm.filtered)
)</f>
        <v>000897</v>
      </c>
      <c r="B607" s="3" t="s">
        <v>2517</v>
      </c>
      <c r="C607" s="3" t="s">
        <v>2518</v>
      </c>
      <c r="D607" s="4">
        <v>140</v>
      </c>
      <c r="E607" s="3" t="s">
        <v>2519</v>
      </c>
      <c r="F607" s="3" t="s">
        <v>33</v>
      </c>
      <c r="G607" s="3" t="s">
        <v>2520</v>
      </c>
      <c r="H607" s="3" t="s">
        <v>137</v>
      </c>
      <c r="I607" s="3" t="s">
        <v>33</v>
      </c>
      <c r="J607" s="3" t="s">
        <v>85</v>
      </c>
      <c r="K607" s="3" t="s">
        <v>2064</v>
      </c>
      <c r="L607" s="3" t="s">
        <v>2016</v>
      </c>
      <c r="M607" s="3" t="s">
        <v>2017</v>
      </c>
      <c r="N607" s="3" t="s">
        <v>25</v>
      </c>
      <c r="O607" t="str">
        <f>"2025-07-10"</f>
        <v>2025-07-10</v>
      </c>
      <c r="P607" t="str">
        <f>"2026-07-09"</f>
        <v>2026-07-09</v>
      </c>
    </row>
    <row r="608" spans="1:16" x14ac:dyDescent="0.2">
      <c r="A608" t="str" cm="1">
        <f t="array" ref="A608">_xlfn.LET(
    _xlpm.txt, B608,
    _xlpm.chars, MID(_xlpm.txt, _xlfn.SEQUENCE(LEN(_xlpm.txt)), 1),
    _xlpm.filtered, _xlfn._xlws.FILTER(_xlpm.chars, NOT(ISNUMBER(SEARCH(_xlpm.chars, "ABCDEFGHIJKLMNOPQRSTUVWXYZabcdefghijklmnopqrstuvwxyz")))),
    _xlfn.TEXTJOIN("",, _xlpm.filtered)
)</f>
        <v>000898</v>
      </c>
      <c r="B608" s="3" t="s">
        <v>2521</v>
      </c>
      <c r="C608" s="3" t="s">
        <v>2522</v>
      </c>
      <c r="D608" s="4">
        <v>170</v>
      </c>
      <c r="E608" s="3" t="s">
        <v>2523</v>
      </c>
      <c r="F608" s="3" t="s">
        <v>33</v>
      </c>
      <c r="G608" s="3" t="s">
        <v>2524</v>
      </c>
      <c r="H608" s="3" t="s">
        <v>155</v>
      </c>
      <c r="I608" s="3" t="s">
        <v>33</v>
      </c>
      <c r="J608" s="3" t="s">
        <v>60</v>
      </c>
      <c r="K608" s="3" t="s">
        <v>37</v>
      </c>
      <c r="L608" s="3" t="s">
        <v>47</v>
      </c>
      <c r="M608" s="3" t="s">
        <v>185</v>
      </c>
      <c r="N608" s="3" t="s">
        <v>25</v>
      </c>
      <c r="O608" t="str">
        <f>"2025-07-12"</f>
        <v>2025-07-12</v>
      </c>
      <c r="P608" t="str">
        <f>"2026-07-11"</f>
        <v>2026-07-11</v>
      </c>
    </row>
    <row r="609" spans="1:16" x14ac:dyDescent="0.2">
      <c r="A609" t="str" cm="1">
        <f t="array" ref="A609">_xlfn.LET(
    _xlpm.txt, B609,
    _xlpm.chars, MID(_xlpm.txt, _xlfn.SEQUENCE(LEN(_xlpm.txt)), 1),
    _xlpm.filtered, _xlfn._xlws.FILTER(_xlpm.chars, NOT(ISNUMBER(SEARCH(_xlpm.chars, "ABCDEFGHIJKLMNOPQRSTUVWXYZabcdefghijklmnopqrstuvwxyz")))),
    _xlfn.TEXTJOIN("",, _xlpm.filtered)
)</f>
        <v>000899</v>
      </c>
      <c r="B609" s="3" t="s">
        <v>2525</v>
      </c>
      <c r="C609" s="3" t="s">
        <v>2526</v>
      </c>
      <c r="D609" s="4">
        <v>510</v>
      </c>
      <c r="E609" s="3" t="s">
        <v>1219</v>
      </c>
      <c r="F609" s="3" t="s">
        <v>33</v>
      </c>
      <c r="G609" s="3" t="s">
        <v>2527</v>
      </c>
      <c r="H609" s="3" t="s">
        <v>59</v>
      </c>
      <c r="I609" s="3" t="s">
        <v>33</v>
      </c>
      <c r="J609" s="3" t="s">
        <v>21</v>
      </c>
      <c r="K609" s="3" t="s">
        <v>1893</v>
      </c>
      <c r="L609" s="3" t="s">
        <v>2016</v>
      </c>
      <c r="M609" s="3" t="s">
        <v>87</v>
      </c>
      <c r="N609" s="3" t="s">
        <v>25</v>
      </c>
      <c r="O609" t="str">
        <f>"2025-08-01"</f>
        <v>2025-08-01</v>
      </c>
      <c r="P609" t="str">
        <f>"2026-12-31"</f>
        <v>2026-12-31</v>
      </c>
    </row>
    <row r="610" spans="1:16" x14ac:dyDescent="0.2">
      <c r="A610" t="str" cm="1">
        <f t="array" ref="A610">_xlfn.LET(
    _xlpm.txt, B610,
    _xlpm.chars, MID(_xlpm.txt, _xlfn.SEQUENCE(LEN(_xlpm.txt)), 1),
    _xlpm.filtered, _xlfn._xlws.FILTER(_xlpm.chars, NOT(ISNUMBER(SEARCH(_xlpm.chars, "ABCDEFGHIJKLMNOPQRSTUVWXYZabcdefghijklmnopqrstuvwxyz")))),
    _xlfn.TEXTJOIN("",, _xlpm.filtered)
)</f>
        <v>000900</v>
      </c>
      <c r="B610" s="3" t="s">
        <v>2528</v>
      </c>
      <c r="C610" s="3" t="s">
        <v>2529</v>
      </c>
      <c r="D610" s="4">
        <v>0</v>
      </c>
      <c r="E610" s="3" t="s">
        <v>2530</v>
      </c>
      <c r="F610" s="3" t="s">
        <v>33</v>
      </c>
      <c r="G610" s="3" t="s">
        <v>2531</v>
      </c>
      <c r="H610" s="3" t="s">
        <v>1388</v>
      </c>
      <c r="I610" s="3" t="s">
        <v>33</v>
      </c>
      <c r="J610" s="3" t="s">
        <v>85</v>
      </c>
      <c r="K610" s="3" t="s">
        <v>2124</v>
      </c>
      <c r="L610" s="3" t="s">
        <v>33</v>
      </c>
      <c r="M610" s="3" t="s">
        <v>2017</v>
      </c>
      <c r="N610" s="3" t="s">
        <v>273</v>
      </c>
      <c r="O610" t="str">
        <f>"2025-07-25"</f>
        <v>2025-07-25</v>
      </c>
      <c r="P610" t="str">
        <f>"2026-07-24"</f>
        <v>2026-07-24</v>
      </c>
    </row>
    <row r="611" spans="1:16" x14ac:dyDescent="0.2">
      <c r="A611" t="str" cm="1">
        <f t="array" ref="A611">_xlfn.LET(
    _xlpm.txt, B611,
    _xlpm.chars, MID(_xlpm.txt, _xlfn.SEQUENCE(LEN(_xlpm.txt)), 1),
    _xlpm.filtered, _xlfn._xlws.FILTER(_xlpm.chars, NOT(ISNUMBER(SEARCH(_xlpm.chars, "ABCDEFGHIJKLMNOPQRSTUVWXYZabcdefghijklmnopqrstuvwxyz")))),
    _xlfn.TEXTJOIN("",, _xlpm.filtered)
)</f>
        <v>000901</v>
      </c>
      <c r="B611" s="3" t="s">
        <v>2532</v>
      </c>
      <c r="C611" s="3" t="s">
        <v>2533</v>
      </c>
      <c r="D611" s="4">
        <v>140</v>
      </c>
      <c r="E611" s="3" t="s">
        <v>2534</v>
      </c>
      <c r="F611" s="3" t="s">
        <v>2535</v>
      </c>
      <c r="G611" s="3" t="s">
        <v>2536</v>
      </c>
      <c r="H611" s="3" t="s">
        <v>2537</v>
      </c>
      <c r="I611" s="3" t="s">
        <v>33</v>
      </c>
      <c r="J611" s="3" t="s">
        <v>67</v>
      </c>
      <c r="K611" s="3" t="s">
        <v>46</v>
      </c>
      <c r="L611" s="3" t="s">
        <v>2016</v>
      </c>
      <c r="M611" s="3" t="s">
        <v>33</v>
      </c>
      <c r="N611" s="3" t="s">
        <v>25</v>
      </c>
      <c r="O611" t="str">
        <f>"2025-08-01"</f>
        <v>2025-08-01</v>
      </c>
      <c r="P611" t="str">
        <f>"2026-07-31"</f>
        <v>2026-07-31</v>
      </c>
    </row>
    <row r="612" spans="1:16" x14ac:dyDescent="0.2">
      <c r="A612" t="str" cm="1">
        <f t="array" ref="A612">_xlfn.LET(
    _xlpm.txt, B612,
    _xlpm.chars, MID(_xlpm.txt, _xlfn.SEQUENCE(LEN(_xlpm.txt)), 1),
    _xlpm.filtered, _xlfn._xlws.FILTER(_xlpm.chars, NOT(ISNUMBER(SEARCH(_xlpm.chars, "ABCDEFGHIJKLMNOPQRSTUVWXYZabcdefghijklmnopqrstuvwxyz")))),
    _xlfn.TEXTJOIN("",, _xlpm.filtered)
)</f>
        <v>000902</v>
      </c>
      <c r="B612" s="3" t="s">
        <v>2538</v>
      </c>
      <c r="C612" s="3" t="s">
        <v>2539</v>
      </c>
      <c r="D612" s="4">
        <v>100</v>
      </c>
      <c r="E612" s="3" t="s">
        <v>2540</v>
      </c>
      <c r="F612" s="3" t="s">
        <v>33</v>
      </c>
      <c r="G612" s="3" t="s">
        <v>2541</v>
      </c>
      <c r="H612" s="3" t="s">
        <v>264</v>
      </c>
      <c r="I612" s="3" t="s">
        <v>33</v>
      </c>
      <c r="J612" s="3" t="s">
        <v>511</v>
      </c>
      <c r="K612" s="3" t="s">
        <v>33</v>
      </c>
      <c r="L612" s="3" t="s">
        <v>2485</v>
      </c>
      <c r="M612" s="3" t="s">
        <v>33</v>
      </c>
      <c r="N612" s="3" t="s">
        <v>273</v>
      </c>
      <c r="O612" t="str">
        <f>"2025-08-01"</f>
        <v>2025-08-01</v>
      </c>
      <c r="P612" t="str">
        <f>"2026-07-31"</f>
        <v>2026-07-31</v>
      </c>
    </row>
    <row r="613" spans="1:16" x14ac:dyDescent="0.2">
      <c r="A613" t="str" cm="1">
        <f t="array" ref="A613">_xlfn.LET(
    _xlpm.txt, B613,
    _xlpm.chars, MID(_xlpm.txt, _xlfn.SEQUENCE(LEN(_xlpm.txt)), 1),
    _xlpm.filtered, _xlfn._xlws.FILTER(_xlpm.chars, NOT(ISNUMBER(SEARCH(_xlpm.chars, "ABCDEFGHIJKLMNOPQRSTUVWXYZabcdefghijklmnopqrstuvwxyz")))),
    _xlfn.TEXTJOIN("",, _xlpm.filtered)
)</f>
        <v>000903</v>
      </c>
      <c r="B613" s="3" t="s">
        <v>2542</v>
      </c>
      <c r="C613" s="3" t="s">
        <v>2543</v>
      </c>
      <c r="D613" s="4">
        <v>360</v>
      </c>
      <c r="E613" s="3" t="s">
        <v>2544</v>
      </c>
      <c r="F613" s="3" t="s">
        <v>33</v>
      </c>
      <c r="G613" s="3" t="s">
        <v>2545</v>
      </c>
      <c r="H613" s="3" t="s">
        <v>84</v>
      </c>
      <c r="I613" s="3" t="s">
        <v>33</v>
      </c>
      <c r="J613" s="3" t="s">
        <v>214</v>
      </c>
      <c r="K613" s="3" t="s">
        <v>2124</v>
      </c>
      <c r="L613" s="3" t="s">
        <v>913</v>
      </c>
      <c r="M613" s="3" t="s">
        <v>33</v>
      </c>
      <c r="N613" s="3" t="s">
        <v>25</v>
      </c>
      <c r="O613" t="str">
        <f>"2025-08-05"</f>
        <v>2025-08-05</v>
      </c>
      <c r="P613" t="str">
        <f>"2026-08-04"</f>
        <v>2026-08-04</v>
      </c>
    </row>
    <row r="614" spans="1:16" x14ac:dyDescent="0.2">
      <c r="A614" t="str" cm="1">
        <f t="array" ref="A614">_xlfn.LET(
    _xlpm.txt, B614,
    _xlpm.chars, MID(_xlpm.txt, _xlfn.SEQUENCE(LEN(_xlpm.txt)), 1),
    _xlpm.filtered, _xlfn._xlws.FILTER(_xlpm.chars, NOT(ISNUMBER(SEARCH(_xlpm.chars, "ABCDEFGHIJKLMNOPQRSTUVWXYZabcdefghijklmnopqrstuvwxyz")))),
    _xlfn.TEXTJOIN("",, _xlpm.filtered)
)</f>
        <v>000904</v>
      </c>
      <c r="B614" s="3" t="s">
        <v>2546</v>
      </c>
      <c r="C614" s="3" t="s">
        <v>2547</v>
      </c>
      <c r="D614" s="4">
        <v>130</v>
      </c>
      <c r="E614" s="3" t="s">
        <v>2548</v>
      </c>
      <c r="F614" s="3" t="s">
        <v>33</v>
      </c>
      <c r="G614" s="3" t="s">
        <v>2549</v>
      </c>
      <c r="H614" s="3" t="s">
        <v>487</v>
      </c>
      <c r="I614" s="3" t="s">
        <v>33</v>
      </c>
      <c r="J614" s="3" t="s">
        <v>85</v>
      </c>
      <c r="K614" s="3" t="s">
        <v>163</v>
      </c>
      <c r="L614" s="3" t="s">
        <v>163</v>
      </c>
      <c r="M614" s="3" t="s">
        <v>2319</v>
      </c>
      <c r="N614" s="3" t="s">
        <v>273</v>
      </c>
      <c r="O614" t="str">
        <f>"2025-08-13"</f>
        <v>2025-08-13</v>
      </c>
      <c r="P614" t="str">
        <f>"2026-08-12"</f>
        <v>2026-08-12</v>
      </c>
    </row>
    <row r="615" spans="1:16" x14ac:dyDescent="0.2">
      <c r="A615" t="str" cm="1">
        <f t="array" ref="A615">_xlfn.LET(
    _xlpm.txt, B615,
    _xlpm.chars, MID(_xlpm.txt, _xlfn.SEQUENCE(LEN(_xlpm.txt)), 1),
    _xlpm.filtered, _xlfn._xlws.FILTER(_xlpm.chars, NOT(ISNUMBER(SEARCH(_xlpm.chars, "ABCDEFGHIJKLMNOPQRSTUVWXYZabcdefghijklmnopqrstuvwxyz")))),
    _xlfn.TEXTJOIN("",, _xlpm.filtered)
)</f>
        <v>000905</v>
      </c>
      <c r="B615" s="3" t="s">
        <v>2550</v>
      </c>
      <c r="C615" s="3" t="s">
        <v>2551</v>
      </c>
      <c r="D615" s="4">
        <v>0</v>
      </c>
      <c r="E615" s="3" t="s">
        <v>2552</v>
      </c>
      <c r="F615" s="3" t="s">
        <v>33</v>
      </c>
      <c r="G615" s="3" t="s">
        <v>2553</v>
      </c>
      <c r="H615" s="3" t="s">
        <v>2554</v>
      </c>
      <c r="I615" s="3" t="s">
        <v>33</v>
      </c>
      <c r="J615" s="3" t="s">
        <v>36</v>
      </c>
      <c r="K615" s="3" t="s">
        <v>2124</v>
      </c>
      <c r="L615" s="3" t="s">
        <v>2016</v>
      </c>
      <c r="M615" s="3" t="s">
        <v>2017</v>
      </c>
      <c r="N615" s="3" t="s">
        <v>25</v>
      </c>
      <c r="O615" t="str">
        <f>"2025-08-22"</f>
        <v>2025-08-22</v>
      </c>
      <c r="P615" t="str">
        <f>"2026-08-21"</f>
        <v>2026-08-21</v>
      </c>
    </row>
    <row r="616" spans="1:16" x14ac:dyDescent="0.2">
      <c r="A616" t="str" cm="1">
        <f t="array" ref="A616">_xlfn.LET(
    _xlpm.txt, B616,
    _xlpm.chars, MID(_xlpm.txt, _xlfn.SEQUENCE(LEN(_xlpm.txt)), 1),
    _xlpm.filtered, _xlfn._xlws.FILTER(_xlpm.chars, NOT(ISNUMBER(SEARCH(_xlpm.chars, "ABCDEFGHIJKLMNOPQRSTUVWXYZabcdefghijklmnopqrstuvwxyz")))),
    _xlfn.TEXTJOIN("",, _xlpm.filtered)
)</f>
        <v>000906</v>
      </c>
      <c r="B616" s="3" t="s">
        <v>2555</v>
      </c>
      <c r="C616" s="3" t="s">
        <v>1453</v>
      </c>
      <c r="D616" s="4">
        <v>300</v>
      </c>
      <c r="E616" s="3" t="s">
        <v>1053</v>
      </c>
      <c r="F616" s="3" t="s">
        <v>33</v>
      </c>
      <c r="G616" s="3" t="s">
        <v>2556</v>
      </c>
      <c r="H616" s="3" t="s">
        <v>213</v>
      </c>
      <c r="I616" s="3" t="s">
        <v>33</v>
      </c>
      <c r="J616" s="3" t="s">
        <v>214</v>
      </c>
      <c r="K616" s="3" t="s">
        <v>962</v>
      </c>
      <c r="L616" s="3" t="s">
        <v>913</v>
      </c>
      <c r="M616" s="3" t="s">
        <v>33</v>
      </c>
      <c r="N616" s="3" t="s">
        <v>273</v>
      </c>
      <c r="O616" t="str">
        <f>"2025-09-01"</f>
        <v>2025-09-01</v>
      </c>
      <c r="P616" t="str">
        <f>"2026-08-31"</f>
        <v>2026-08-31</v>
      </c>
    </row>
    <row r="617" spans="1:16" x14ac:dyDescent="0.2">
      <c r="A617" t="str" cm="1">
        <f t="array" ref="A617">_xlfn.LET(
    _xlpm.txt, B617,
    _xlpm.chars, MID(_xlpm.txt, _xlfn.SEQUENCE(LEN(_xlpm.txt)), 1),
    _xlpm.filtered, _xlfn._xlws.FILTER(_xlpm.chars, NOT(ISNUMBER(SEARCH(_xlpm.chars, "ABCDEFGHIJKLMNOPQRSTUVWXYZabcdefghijklmnopqrstuvwxyz")))),
    _xlfn.TEXTJOIN("",, _xlpm.filtered)
)</f>
        <v>000907</v>
      </c>
      <c r="B617" s="3" t="s">
        <v>2557</v>
      </c>
      <c r="C617" s="3" t="s">
        <v>1453</v>
      </c>
      <c r="D617" s="4">
        <v>300</v>
      </c>
      <c r="E617" s="3" t="s">
        <v>1053</v>
      </c>
      <c r="F617" s="3" t="s">
        <v>33</v>
      </c>
      <c r="G617" s="3" t="s">
        <v>2558</v>
      </c>
      <c r="H617" s="3" t="s">
        <v>213</v>
      </c>
      <c r="I617" s="3" t="s">
        <v>33</v>
      </c>
      <c r="J617" s="3" t="s">
        <v>214</v>
      </c>
      <c r="K617" s="3" t="s">
        <v>962</v>
      </c>
      <c r="L617" s="3" t="s">
        <v>913</v>
      </c>
      <c r="M617" s="3" t="s">
        <v>33</v>
      </c>
      <c r="N617" s="3" t="s">
        <v>273</v>
      </c>
      <c r="O617" t="str">
        <f>"2025-09-01"</f>
        <v>2025-09-01</v>
      </c>
      <c r="P617" t="str">
        <f>"2026-08-31"</f>
        <v>2026-08-31</v>
      </c>
    </row>
    <row r="618" spans="1:16" x14ac:dyDescent="0.2">
      <c r="A618" t="str" cm="1">
        <f t="array" ref="A618">_xlfn.LET(
    _xlpm.txt, B618,
    _xlpm.chars, MID(_xlpm.txt, _xlfn.SEQUENCE(LEN(_xlpm.txt)), 1),
    _xlpm.filtered, _xlfn._xlws.FILTER(_xlpm.chars, NOT(ISNUMBER(SEARCH(_xlpm.chars, "ABCDEFGHIJKLMNOPQRSTUVWXYZabcdefghijklmnopqrstuvwxyz")))),
    _xlfn.TEXTJOIN("",, _xlpm.filtered)
)</f>
        <v>000908</v>
      </c>
      <c r="B618" s="3" t="s">
        <v>2559</v>
      </c>
      <c r="C618" s="3" t="s">
        <v>1453</v>
      </c>
      <c r="D618" s="4">
        <v>300</v>
      </c>
      <c r="E618" s="3" t="s">
        <v>1053</v>
      </c>
      <c r="F618" s="3" t="s">
        <v>33</v>
      </c>
      <c r="G618" s="3" t="s">
        <v>2560</v>
      </c>
      <c r="H618" s="3" t="s">
        <v>363</v>
      </c>
      <c r="I618" s="3" t="s">
        <v>33</v>
      </c>
      <c r="J618" s="3" t="s">
        <v>214</v>
      </c>
      <c r="K618" s="3" t="s">
        <v>33</v>
      </c>
      <c r="L618" s="3" t="s">
        <v>1193</v>
      </c>
      <c r="M618" s="3" t="s">
        <v>33</v>
      </c>
      <c r="N618" s="3" t="s">
        <v>273</v>
      </c>
      <c r="O618" t="str">
        <f>"2025-09-01"</f>
        <v>2025-09-01</v>
      </c>
      <c r="P618" t="str">
        <f>"2026-08-31"</f>
        <v>2026-08-31</v>
      </c>
    </row>
    <row r="619" spans="1:16" x14ac:dyDescent="0.2">
      <c r="A619" t="str" cm="1">
        <f t="array" ref="A619">_xlfn.LET(
    _xlpm.txt, B619,
    _xlpm.chars, MID(_xlpm.txt, _xlfn.SEQUENCE(LEN(_xlpm.txt)), 1),
    _xlpm.filtered, _xlfn._xlws.FILTER(_xlpm.chars, NOT(ISNUMBER(SEARCH(_xlpm.chars, "ABCDEFGHIJKLMNOPQRSTUVWXYZabcdefghijklmnopqrstuvwxyz")))),
    _xlfn.TEXTJOIN("",, _xlpm.filtered)
)</f>
        <v>000909</v>
      </c>
      <c r="B619" s="3" t="s">
        <v>2561</v>
      </c>
      <c r="C619" s="3" t="s">
        <v>2562</v>
      </c>
      <c r="D619" s="4">
        <v>0</v>
      </c>
      <c r="E619" s="3" t="s">
        <v>2563</v>
      </c>
      <c r="F619" s="3" t="s">
        <v>33</v>
      </c>
      <c r="G619" s="3" t="s">
        <v>2564</v>
      </c>
      <c r="H619" s="3" t="s">
        <v>132</v>
      </c>
      <c r="I619" s="3" t="s">
        <v>33</v>
      </c>
      <c r="J619" s="3" t="s">
        <v>511</v>
      </c>
      <c r="K619" s="3" t="s">
        <v>271</v>
      </c>
      <c r="L619" s="3" t="s">
        <v>2016</v>
      </c>
      <c r="M619" s="3" t="s">
        <v>2169</v>
      </c>
      <c r="N619" s="3" t="s">
        <v>25</v>
      </c>
      <c r="O619" t="str">
        <f>"2025-04-01"</f>
        <v>2025-04-01</v>
      </c>
      <c r="P619" t="str">
        <f>"2026-03-31"</f>
        <v>2026-03-31</v>
      </c>
    </row>
    <row r="620" spans="1:16" x14ac:dyDescent="0.2">
      <c r="A620" t="str" cm="1">
        <f t="array" ref="A620">_xlfn.LET(
    _xlpm.txt, B620,
    _xlpm.chars, MID(_xlpm.txt, _xlfn.SEQUENCE(LEN(_xlpm.txt)), 1),
    _xlpm.filtered, _xlfn._xlws.FILTER(_xlpm.chars, NOT(ISNUMBER(SEARCH(_xlpm.chars, "ABCDEFGHIJKLMNOPQRSTUVWXYZabcdefghijklmnopqrstuvwxyz")))),
    _xlfn.TEXTJOIN("",, _xlpm.filtered)
)</f>
        <v>000910</v>
      </c>
      <c r="B620" s="3" t="s">
        <v>2565</v>
      </c>
      <c r="C620" s="3" t="s">
        <v>2562</v>
      </c>
      <c r="D620" s="4">
        <v>0</v>
      </c>
      <c r="E620" s="3" t="s">
        <v>2563</v>
      </c>
      <c r="F620" s="3" t="s">
        <v>33</v>
      </c>
      <c r="G620" s="3" t="s">
        <v>2566</v>
      </c>
      <c r="H620" s="3" t="s">
        <v>132</v>
      </c>
      <c r="I620" s="3" t="s">
        <v>33</v>
      </c>
      <c r="J620" s="3" t="s">
        <v>511</v>
      </c>
      <c r="K620" s="3" t="s">
        <v>271</v>
      </c>
      <c r="L620" s="3" t="s">
        <v>2016</v>
      </c>
      <c r="M620" s="3" t="s">
        <v>2169</v>
      </c>
      <c r="N620" s="3" t="s">
        <v>25</v>
      </c>
      <c r="O620" t="str">
        <f>"2025-09-05"</f>
        <v>2025-09-05</v>
      </c>
      <c r="P620" t="str">
        <f>"2026-09-04"</f>
        <v>2026-09-04</v>
      </c>
    </row>
    <row r="621" spans="1:16" x14ac:dyDescent="0.2">
      <c r="A621" t="str" cm="1">
        <f t="array" ref="A621">_xlfn.LET(
    _xlpm.txt, B621,
    _xlpm.chars, MID(_xlpm.txt, _xlfn.SEQUENCE(LEN(_xlpm.txt)), 1),
    _xlpm.filtered, _xlfn._xlws.FILTER(_xlpm.chars, NOT(ISNUMBER(SEARCH(_xlpm.chars, "ABCDEFGHIJKLMNOPQRSTUVWXYZabcdefghijklmnopqrstuvwxyz")))),
    _xlfn.TEXTJOIN("",, _xlpm.filtered)
)</f>
        <v>000911</v>
      </c>
      <c r="B621" s="3" t="s">
        <v>2567</v>
      </c>
      <c r="C621" s="3" t="s">
        <v>2568</v>
      </c>
      <c r="D621" s="4">
        <v>360</v>
      </c>
      <c r="E621" s="3" t="s">
        <v>725</v>
      </c>
      <c r="F621" s="3" t="s">
        <v>33</v>
      </c>
      <c r="G621" s="3" t="s">
        <v>2569</v>
      </c>
      <c r="H621" s="3" t="s">
        <v>824</v>
      </c>
      <c r="I621" s="3" t="s">
        <v>33</v>
      </c>
      <c r="J621" s="3" t="s">
        <v>214</v>
      </c>
      <c r="K621" s="3" t="s">
        <v>33</v>
      </c>
      <c r="L621" s="3" t="s">
        <v>2016</v>
      </c>
      <c r="M621" s="3" t="s">
        <v>33</v>
      </c>
      <c r="N621" s="3" t="s">
        <v>25</v>
      </c>
      <c r="O621" t="str">
        <f>"2025-09-01"</f>
        <v>2025-09-01</v>
      </c>
      <c r="P621" t="str">
        <f>"2026-08-31"</f>
        <v>2026-08-31</v>
      </c>
    </row>
    <row r="622" spans="1:16" x14ac:dyDescent="0.2">
      <c r="A622" t="str" cm="1">
        <f t="array" ref="A622">_xlfn.LET(
    _xlpm.txt, B622,
    _xlpm.chars, MID(_xlpm.txt, _xlfn.SEQUENCE(LEN(_xlpm.txt)), 1),
    _xlpm.filtered, _xlfn._xlws.FILTER(_xlpm.chars, NOT(ISNUMBER(SEARCH(_xlpm.chars, "ABCDEFGHIJKLMNOPQRSTUVWXYZabcdefghijklmnopqrstuvwxyz")))),
    _xlfn.TEXTJOIN("",, _xlpm.filtered)
)</f>
        <v>000912</v>
      </c>
      <c r="B622" s="3" t="s">
        <v>2570</v>
      </c>
      <c r="C622" s="3" t="s">
        <v>2571</v>
      </c>
      <c r="D622" s="4">
        <v>180</v>
      </c>
      <c r="E622" s="3" t="s">
        <v>2572</v>
      </c>
      <c r="F622" s="3" t="s">
        <v>33</v>
      </c>
      <c r="G622" s="3" t="s">
        <v>2573</v>
      </c>
      <c r="H622" s="3" t="s">
        <v>1122</v>
      </c>
      <c r="I622" s="3" t="s">
        <v>33</v>
      </c>
      <c r="J622" s="3" t="s">
        <v>60</v>
      </c>
      <c r="K622" s="3" t="s">
        <v>2574</v>
      </c>
      <c r="L622" s="3" t="s">
        <v>23</v>
      </c>
      <c r="M622" s="3" t="s">
        <v>87</v>
      </c>
      <c r="N622" s="3" t="s">
        <v>25</v>
      </c>
      <c r="O622" t="str">
        <f>"2025-09-11"</f>
        <v>2025-09-11</v>
      </c>
      <c r="P622" t="str">
        <f>"2026-09-10"</f>
        <v>2026-09-10</v>
      </c>
    </row>
    <row r="623" spans="1:16" x14ac:dyDescent="0.2">
      <c r="A623" t="str" cm="1">
        <f t="array" ref="A623">_xlfn.LET(
    _xlpm.txt, B623,
    _xlpm.chars, MID(_xlpm.txt, _xlfn.SEQUENCE(LEN(_xlpm.txt)), 1),
    _xlpm.filtered, _xlfn._xlws.FILTER(_xlpm.chars, NOT(ISNUMBER(SEARCH(_xlpm.chars, "ABCDEFGHIJKLMNOPQRSTUVWXYZabcdefghijklmnopqrstuvwxyz")))),
    _xlfn.TEXTJOIN("",, _xlpm.filtered)
)</f>
        <v>000913</v>
      </c>
      <c r="B623" s="3" t="s">
        <v>2575</v>
      </c>
      <c r="C623" s="3" t="s">
        <v>2576</v>
      </c>
      <c r="D623" s="4">
        <v>0</v>
      </c>
      <c r="E623" s="3" t="s">
        <v>2577</v>
      </c>
      <c r="F623" s="3" t="s">
        <v>33</v>
      </c>
      <c r="G623" s="3" t="s">
        <v>2578</v>
      </c>
      <c r="H623" s="3" t="s">
        <v>368</v>
      </c>
      <c r="I623" s="3" t="s">
        <v>33</v>
      </c>
      <c r="J623" s="3" t="s">
        <v>67</v>
      </c>
      <c r="K623" s="3" t="s">
        <v>2579</v>
      </c>
      <c r="L623" s="3" t="s">
        <v>2580</v>
      </c>
      <c r="M623" s="3" t="s">
        <v>2581</v>
      </c>
      <c r="N623" s="3" t="s">
        <v>273</v>
      </c>
      <c r="O623" t="str">
        <f>"2025-09-05"</f>
        <v>2025-09-05</v>
      </c>
      <c r="P623" t="str">
        <f>"2026-09-04"</f>
        <v>2026-09-04</v>
      </c>
    </row>
    <row r="624" spans="1:16" x14ac:dyDescent="0.2">
      <c r="A624" t="str" cm="1">
        <f t="array" ref="A624">_xlfn.LET(
    _xlpm.txt, B624,
    _xlpm.chars, MID(_xlpm.txt, _xlfn.SEQUENCE(LEN(_xlpm.txt)), 1),
    _xlpm.filtered, _xlfn._xlws.FILTER(_xlpm.chars, NOT(ISNUMBER(SEARCH(_xlpm.chars, "ABCDEFGHIJKLMNOPQRSTUVWXYZabcdefghijklmnopqrstuvwxyz")))),
    _xlfn.TEXTJOIN("",, _xlpm.filtered)
)</f>
        <v>000914</v>
      </c>
      <c r="B624" s="3" t="s">
        <v>2582</v>
      </c>
      <c r="C624" s="3" t="s">
        <v>1711</v>
      </c>
      <c r="D624" s="4">
        <v>360</v>
      </c>
      <c r="E624" s="3" t="s">
        <v>1684</v>
      </c>
      <c r="F624" s="3" t="s">
        <v>33</v>
      </c>
      <c r="G624" s="3" t="s">
        <v>2583</v>
      </c>
      <c r="H624" s="3" t="s">
        <v>59</v>
      </c>
      <c r="I624" s="3" t="s">
        <v>20</v>
      </c>
      <c r="J624" s="3" t="s">
        <v>21</v>
      </c>
      <c r="K624" s="3" t="s">
        <v>2124</v>
      </c>
      <c r="L624" s="3" t="s">
        <v>174</v>
      </c>
      <c r="M624" s="3" t="s">
        <v>2584</v>
      </c>
      <c r="N624" s="3" t="s">
        <v>25</v>
      </c>
      <c r="O624" t="str">
        <f>"2025-09-18"</f>
        <v>2025-09-18</v>
      </c>
      <c r="P624" t="str">
        <f>"2026-09-17"</f>
        <v>2026-09-17</v>
      </c>
    </row>
    <row r="625" spans="1:16" x14ac:dyDescent="0.2">
      <c r="A625" t="str" cm="1">
        <f t="array" ref="A625">_xlfn.LET(
    _xlpm.txt, B625,
    _xlpm.chars, MID(_xlpm.txt, _xlfn.SEQUENCE(LEN(_xlpm.txt)), 1),
    _xlpm.filtered, _xlfn._xlws.FILTER(_xlpm.chars, NOT(ISNUMBER(SEARCH(_xlpm.chars, "ABCDEFGHIJKLMNOPQRSTUVWXYZabcdefghijklmnopqrstuvwxyz")))),
    _xlfn.TEXTJOIN("",, _xlpm.filtered)
)</f>
        <v>000915</v>
      </c>
      <c r="B625" s="3" t="s">
        <v>2585</v>
      </c>
      <c r="C625" s="3" t="s">
        <v>2586</v>
      </c>
      <c r="D625" s="4">
        <v>150</v>
      </c>
      <c r="E625" s="3" t="s">
        <v>2587</v>
      </c>
      <c r="F625" s="3" t="s">
        <v>33</v>
      </c>
      <c r="G625" s="3" t="s">
        <v>2588</v>
      </c>
      <c r="H625" s="3" t="s">
        <v>270</v>
      </c>
      <c r="I625" s="3" t="s">
        <v>20</v>
      </c>
      <c r="J625" s="3" t="s">
        <v>511</v>
      </c>
      <c r="K625" s="3" t="s">
        <v>2589</v>
      </c>
      <c r="L625" s="3" t="s">
        <v>2590</v>
      </c>
      <c r="M625" s="3" t="s">
        <v>431</v>
      </c>
      <c r="N625" s="3" t="s">
        <v>25</v>
      </c>
      <c r="O625" t="str">
        <f>"2025-10-01"</f>
        <v>2025-10-01</v>
      </c>
      <c r="P625" t="str">
        <f>"2026-09-30"</f>
        <v>2026-09-30</v>
      </c>
    </row>
    <row r="626" spans="1:16" x14ac:dyDescent="0.2">
      <c r="A626" t="str" cm="1">
        <f t="array" ref="A626">_xlfn.LET(
    _xlpm.txt, B626,
    _xlpm.chars, MID(_xlpm.txt, _xlfn.SEQUENCE(LEN(_xlpm.txt)), 1),
    _xlpm.filtered, _xlfn._xlws.FILTER(_xlpm.chars, NOT(ISNUMBER(SEARCH(_xlpm.chars, "ABCDEFGHIJKLMNOPQRSTUVWXYZabcdefghijklmnopqrstuvwxyz")))),
    _xlfn.TEXTJOIN("",, _xlpm.filtered)
)</f>
        <v>000916</v>
      </c>
      <c r="B626" s="3" t="s">
        <v>2591</v>
      </c>
      <c r="C626" s="3" t="s">
        <v>1133</v>
      </c>
      <c r="D626" s="4">
        <v>130</v>
      </c>
      <c r="E626" s="3" t="s">
        <v>1134</v>
      </c>
      <c r="F626" s="3" t="s">
        <v>2592</v>
      </c>
      <c r="G626" s="3" t="s">
        <v>2593</v>
      </c>
      <c r="H626" s="3" t="s">
        <v>2594</v>
      </c>
      <c r="I626" s="3" t="s">
        <v>33</v>
      </c>
      <c r="J626" s="3" t="s">
        <v>67</v>
      </c>
      <c r="K626" s="3" t="s">
        <v>2124</v>
      </c>
      <c r="L626" s="3" t="s">
        <v>2016</v>
      </c>
      <c r="M626" s="3" t="s">
        <v>185</v>
      </c>
      <c r="N626" s="3" t="s">
        <v>25</v>
      </c>
      <c r="O626" t="str">
        <f>"2025-09-21"</f>
        <v>2025-09-21</v>
      </c>
      <c r="P626" t="str">
        <f>"2026-09-20"</f>
        <v>2026-09-20</v>
      </c>
    </row>
    <row r="627" spans="1:16" x14ac:dyDescent="0.2">
      <c r="A627" t="str" cm="1">
        <f t="array" ref="A627">_xlfn.LET(
    _xlpm.txt, B627,
    _xlpm.chars, MID(_xlpm.txt, _xlfn.SEQUENCE(LEN(_xlpm.txt)), 1),
    _xlpm.filtered, _xlfn._xlws.FILTER(_xlpm.chars, NOT(ISNUMBER(SEARCH(_xlpm.chars, "ABCDEFGHIJKLMNOPQRSTUVWXYZabcdefghijklmnopqrstuvwxyz")))),
    _xlfn.TEXTJOIN("",, _xlpm.filtered)
)</f>
        <v>000917</v>
      </c>
      <c r="B627" s="3" t="s">
        <v>2595</v>
      </c>
      <c r="C627" s="3" t="s">
        <v>2596</v>
      </c>
      <c r="D627" s="4">
        <v>140</v>
      </c>
      <c r="E627" s="3" t="s">
        <v>2597</v>
      </c>
      <c r="F627" s="3" t="s">
        <v>33</v>
      </c>
      <c r="G627" s="3" t="s">
        <v>2598</v>
      </c>
      <c r="H627" s="3" t="s">
        <v>657</v>
      </c>
      <c r="I627" s="3" t="s">
        <v>33</v>
      </c>
      <c r="J627" s="3" t="s">
        <v>67</v>
      </c>
      <c r="K627" s="3" t="s">
        <v>2124</v>
      </c>
      <c r="L627" s="3" t="s">
        <v>2016</v>
      </c>
      <c r="M627" s="3" t="s">
        <v>185</v>
      </c>
      <c r="N627" s="3" t="s">
        <v>25</v>
      </c>
      <c r="O627" t="str">
        <f>"2025-10-08"</f>
        <v>2025-10-08</v>
      </c>
      <c r="P627" t="str">
        <f>"2026-10-07"</f>
        <v>2026-10-07</v>
      </c>
    </row>
    <row r="628" spans="1:16" x14ac:dyDescent="0.2">
      <c r="A628" t="str" cm="1">
        <f t="array" ref="A628">_xlfn.LET(
    _xlpm.txt, B628,
    _xlpm.chars, MID(_xlpm.txt, _xlfn.SEQUENCE(LEN(_xlpm.txt)), 1),
    _xlpm.filtered, _xlfn._xlws.FILTER(_xlpm.chars, NOT(ISNUMBER(SEARCH(_xlpm.chars, "ABCDEFGHIJKLMNOPQRSTUVWXYZabcdefghijklmnopqrstuvwxyz")))),
    _xlfn.TEXTJOIN("",, _xlpm.filtered)
)</f>
        <v>000918</v>
      </c>
      <c r="B628" s="3" t="s">
        <v>2599</v>
      </c>
      <c r="C628" s="3" t="s">
        <v>2600</v>
      </c>
      <c r="D628" s="4">
        <v>150</v>
      </c>
      <c r="E628" s="3" t="s">
        <v>2601</v>
      </c>
      <c r="F628" s="3" t="s">
        <v>33</v>
      </c>
      <c r="G628" s="3" t="s">
        <v>2602</v>
      </c>
      <c r="H628" s="3" t="s">
        <v>368</v>
      </c>
      <c r="I628" s="3" t="s">
        <v>33</v>
      </c>
      <c r="J628" s="3" t="s">
        <v>36</v>
      </c>
      <c r="K628" s="3" t="s">
        <v>33</v>
      </c>
      <c r="L628" s="3" t="s">
        <v>2016</v>
      </c>
      <c r="M628" s="3" t="s">
        <v>33</v>
      </c>
      <c r="N628" s="3" t="s">
        <v>25</v>
      </c>
      <c r="O628" t="str">
        <f>"2025-10-15"</f>
        <v>2025-10-15</v>
      </c>
      <c r="P628" t="str">
        <f>"2026-10-14"</f>
        <v>2026-10-14</v>
      </c>
    </row>
    <row r="629" spans="1:16" x14ac:dyDescent="0.2">
      <c r="A629" t="str" cm="1">
        <f t="array" ref="A629">_xlfn.LET(
    _xlpm.txt, B629,
    _xlpm.chars, MID(_xlpm.txt, _xlfn.SEQUENCE(LEN(_xlpm.txt)), 1),
    _xlpm.filtered, _xlfn._xlws.FILTER(_xlpm.chars, NOT(ISNUMBER(SEARCH(_xlpm.chars, "ABCDEFGHIJKLMNOPQRSTUVWXYZabcdefghijklmnopqrstuvwxyz")))),
    _xlfn.TEXTJOIN("",, _xlpm.filtered)
)</f>
        <v>000919</v>
      </c>
      <c r="B629" s="3" t="s">
        <v>2603</v>
      </c>
      <c r="C629" s="3" t="s">
        <v>2600</v>
      </c>
      <c r="D629" s="4">
        <v>150</v>
      </c>
      <c r="E629" s="3" t="s">
        <v>33</v>
      </c>
      <c r="F629" s="3" t="s">
        <v>33</v>
      </c>
      <c r="G629" s="3" t="s">
        <v>2604</v>
      </c>
      <c r="H629" s="3" t="s">
        <v>368</v>
      </c>
      <c r="I629" s="3" t="s">
        <v>33</v>
      </c>
      <c r="J629" s="3" t="s">
        <v>36</v>
      </c>
      <c r="K629" s="3" t="s">
        <v>2124</v>
      </c>
      <c r="L629" s="3" t="s">
        <v>2016</v>
      </c>
      <c r="M629" s="3" t="s">
        <v>33</v>
      </c>
      <c r="N629" s="3" t="s">
        <v>25</v>
      </c>
      <c r="O629" t="str">
        <f>"2025-10-15"</f>
        <v>2025-10-15</v>
      </c>
      <c r="P629" t="str">
        <f>"2026-10-14"</f>
        <v>2026-10-14</v>
      </c>
    </row>
  </sheetData>
  <autoFilter ref="B1:P629" xr:uid="{0DFB61CE-5F4E-45A0-93AD-296E8214165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4CDC-DD1B-C840-9906-38BA003625F1}">
  <dimension ref="A1:AC21"/>
  <sheetViews>
    <sheetView zoomScaleNormal="60" zoomScaleSheetLayoutView="100" workbookViewId="0"/>
  </sheetViews>
  <sheetFormatPr defaultRowHeight="15" x14ac:dyDescent="0.2"/>
  <cols>
    <col min="2" max="2" width="28.11328125" bestFit="1" customWidth="1"/>
    <col min="5" max="6" width="9.14453125" bestFit="1" customWidth="1"/>
    <col min="7" max="7" width="74.25390625" bestFit="1" customWidth="1"/>
  </cols>
  <sheetData>
    <row r="1" spans="1:29" x14ac:dyDescent="0.2">
      <c r="A1" t="s">
        <v>0</v>
      </c>
      <c r="B1" t="s">
        <v>1</v>
      </c>
      <c r="C1" t="s">
        <v>2606</v>
      </c>
      <c r="D1" t="s">
        <v>2</v>
      </c>
      <c r="E1" t="s">
        <v>2607</v>
      </c>
      <c r="F1" t="s">
        <v>2608</v>
      </c>
      <c r="G1" t="s">
        <v>2609</v>
      </c>
      <c r="H1" t="s">
        <v>2610</v>
      </c>
      <c r="I1" t="s">
        <v>3</v>
      </c>
      <c r="J1" t="s">
        <v>2611</v>
      </c>
      <c r="K1" t="s">
        <v>2612</v>
      </c>
      <c r="L1" t="s">
        <v>5</v>
      </c>
      <c r="M1" t="s">
        <v>2613</v>
      </c>
      <c r="N1" t="s">
        <v>2614</v>
      </c>
      <c r="O1" t="s">
        <v>2615</v>
      </c>
      <c r="P1" t="s">
        <v>2616</v>
      </c>
      <c r="Q1" t="s">
        <v>2617</v>
      </c>
      <c r="R1" t="s">
        <v>2618</v>
      </c>
      <c r="S1" t="s">
        <v>2619</v>
      </c>
      <c r="T1" t="s">
        <v>2620</v>
      </c>
      <c r="U1" t="s">
        <v>2621</v>
      </c>
      <c r="V1" t="s">
        <v>2622</v>
      </c>
      <c r="W1" t="s">
        <v>2623</v>
      </c>
      <c r="X1" t="s">
        <v>2624</v>
      </c>
      <c r="Y1" t="s">
        <v>2625</v>
      </c>
      <c r="Z1" t="s">
        <v>2626</v>
      </c>
      <c r="AA1" t="s">
        <v>2627</v>
      </c>
      <c r="AB1" t="s">
        <v>2628</v>
      </c>
      <c r="AC1" t="s">
        <v>2629</v>
      </c>
    </row>
    <row r="2" spans="1:29" x14ac:dyDescent="0.2">
      <c r="A2" t="s">
        <v>2631</v>
      </c>
      <c r="B2" t="s">
        <v>2632</v>
      </c>
      <c r="C2">
        <v>1</v>
      </c>
      <c r="D2">
        <v>3500</v>
      </c>
      <c r="G2" t="s">
        <v>33</v>
      </c>
      <c r="I2" t="s">
        <v>2633</v>
      </c>
      <c r="J2" t="s">
        <v>2630</v>
      </c>
      <c r="K2" t="s">
        <v>2634</v>
      </c>
      <c r="L2" t="s">
        <v>2635</v>
      </c>
      <c r="M2">
        <v>3500</v>
      </c>
      <c r="N2" t="s">
        <v>33</v>
      </c>
      <c r="O2" t="s">
        <v>33</v>
      </c>
      <c r="P2" t="s">
        <v>33</v>
      </c>
      <c r="Q2" t="s">
        <v>33</v>
      </c>
      <c r="S2">
        <v>68</v>
      </c>
      <c r="T2" t="s">
        <v>2634</v>
      </c>
      <c r="U2" t="s">
        <v>2192</v>
      </c>
      <c r="V2" t="s">
        <v>2192</v>
      </c>
      <c r="W2" t="s">
        <v>33</v>
      </c>
      <c r="X2" t="s">
        <v>33</v>
      </c>
      <c r="Y2" t="s">
        <v>33</v>
      </c>
      <c r="Z2" t="s">
        <v>33</v>
      </c>
      <c r="AC2" t="s">
        <v>33</v>
      </c>
    </row>
    <row r="3" spans="1:29" x14ac:dyDescent="0.2">
      <c r="A3" t="s">
        <v>2636</v>
      </c>
      <c r="B3" t="s">
        <v>2637</v>
      </c>
      <c r="C3">
        <v>1</v>
      </c>
      <c r="D3">
        <v>6500</v>
      </c>
      <c r="G3" t="s">
        <v>33</v>
      </c>
      <c r="I3" t="s">
        <v>2638</v>
      </c>
      <c r="J3" t="s">
        <v>2639</v>
      </c>
      <c r="K3" t="s">
        <v>2640</v>
      </c>
      <c r="L3" t="s">
        <v>2635</v>
      </c>
      <c r="M3">
        <v>6500</v>
      </c>
      <c r="N3" t="s">
        <v>33</v>
      </c>
      <c r="O3" t="s">
        <v>33</v>
      </c>
      <c r="P3" t="s">
        <v>33</v>
      </c>
      <c r="Q3" t="s">
        <v>33</v>
      </c>
      <c r="S3">
        <v>68</v>
      </c>
      <c r="T3" t="s">
        <v>2640</v>
      </c>
      <c r="U3" t="s">
        <v>2192</v>
      </c>
      <c r="V3" t="s">
        <v>2192</v>
      </c>
      <c r="W3" t="s">
        <v>33</v>
      </c>
      <c r="X3" t="s">
        <v>33</v>
      </c>
      <c r="Y3" t="s">
        <v>33</v>
      </c>
      <c r="Z3" t="s">
        <v>33</v>
      </c>
      <c r="AC3" t="s">
        <v>33</v>
      </c>
    </row>
    <row r="4" spans="1:29" x14ac:dyDescent="0.2">
      <c r="A4" t="s">
        <v>2641</v>
      </c>
      <c r="B4" t="s">
        <v>2642</v>
      </c>
      <c r="C4">
        <v>1</v>
      </c>
      <c r="D4">
        <v>5000</v>
      </c>
      <c r="G4" t="s">
        <v>33</v>
      </c>
      <c r="I4" t="s">
        <v>2643</v>
      </c>
      <c r="J4" t="s">
        <v>2644</v>
      </c>
      <c r="K4" t="s">
        <v>2645</v>
      </c>
      <c r="L4" t="s">
        <v>2646</v>
      </c>
      <c r="M4">
        <v>5000</v>
      </c>
      <c r="N4" t="s">
        <v>33</v>
      </c>
      <c r="O4" t="s">
        <v>33</v>
      </c>
      <c r="P4" t="s">
        <v>33</v>
      </c>
      <c r="Q4" t="s">
        <v>33</v>
      </c>
      <c r="S4">
        <v>68</v>
      </c>
      <c r="T4" t="s">
        <v>2645</v>
      </c>
      <c r="U4" t="s">
        <v>2192</v>
      </c>
      <c r="V4" t="s">
        <v>2192</v>
      </c>
      <c r="W4" t="s">
        <v>33</v>
      </c>
      <c r="X4" t="s">
        <v>33</v>
      </c>
      <c r="Y4" t="s">
        <v>33</v>
      </c>
      <c r="Z4" t="s">
        <v>33</v>
      </c>
      <c r="AC4" t="s">
        <v>33</v>
      </c>
    </row>
    <row r="5" spans="1:29" x14ac:dyDescent="0.2">
      <c r="A5" t="s">
        <v>2647</v>
      </c>
      <c r="B5" t="s">
        <v>2648</v>
      </c>
      <c r="C5">
        <v>1</v>
      </c>
      <c r="D5">
        <v>4000</v>
      </c>
      <c r="G5" t="s">
        <v>33</v>
      </c>
      <c r="I5" t="s">
        <v>2649</v>
      </c>
      <c r="J5" t="s">
        <v>2650</v>
      </c>
      <c r="K5" t="s">
        <v>2651</v>
      </c>
      <c r="L5" t="s">
        <v>2652</v>
      </c>
      <c r="M5">
        <v>4000</v>
      </c>
      <c r="N5" t="s">
        <v>33</v>
      </c>
      <c r="O5" t="s">
        <v>33</v>
      </c>
      <c r="P5" t="s">
        <v>33</v>
      </c>
      <c r="Q5" t="s">
        <v>33</v>
      </c>
      <c r="S5">
        <v>68</v>
      </c>
      <c r="T5" t="s">
        <v>2651</v>
      </c>
      <c r="U5" t="s">
        <v>2192</v>
      </c>
      <c r="V5" t="s">
        <v>2192</v>
      </c>
      <c r="W5" t="s">
        <v>33</v>
      </c>
      <c r="X5" t="s">
        <v>33</v>
      </c>
      <c r="Y5" t="s">
        <v>33</v>
      </c>
      <c r="Z5" t="s">
        <v>33</v>
      </c>
      <c r="AC5" t="s">
        <v>33</v>
      </c>
    </row>
    <row r="6" spans="1:29" x14ac:dyDescent="0.2">
      <c r="A6" t="s">
        <v>2656</v>
      </c>
      <c r="B6" t="s">
        <v>2657</v>
      </c>
      <c r="C6">
        <v>1</v>
      </c>
      <c r="D6">
        <v>3200</v>
      </c>
      <c r="G6" t="s">
        <v>2658</v>
      </c>
      <c r="I6" t="s">
        <v>2659</v>
      </c>
      <c r="J6" t="s">
        <v>2660</v>
      </c>
      <c r="K6" t="s">
        <v>2661</v>
      </c>
      <c r="L6" t="s">
        <v>2662</v>
      </c>
      <c r="M6">
        <v>3200</v>
      </c>
      <c r="N6" t="s">
        <v>36</v>
      </c>
      <c r="O6" t="s">
        <v>2663</v>
      </c>
      <c r="P6" t="s">
        <v>33</v>
      </c>
      <c r="Q6" t="s">
        <v>2664</v>
      </c>
      <c r="S6">
        <v>68</v>
      </c>
      <c r="T6" t="s">
        <v>2661</v>
      </c>
      <c r="U6" t="s">
        <v>2192</v>
      </c>
      <c r="V6" t="s">
        <v>2192</v>
      </c>
      <c r="W6" t="s">
        <v>33</v>
      </c>
      <c r="X6" t="s">
        <v>33</v>
      </c>
      <c r="Y6" t="s">
        <v>2655</v>
      </c>
      <c r="Z6" t="s">
        <v>36</v>
      </c>
      <c r="AA6">
        <v>13</v>
      </c>
      <c r="AB6">
        <v>1</v>
      </c>
      <c r="AC6" t="s">
        <v>1947</v>
      </c>
    </row>
    <row r="7" spans="1:29" x14ac:dyDescent="0.2">
      <c r="A7" t="s">
        <v>2665</v>
      </c>
      <c r="B7" t="s">
        <v>2666</v>
      </c>
      <c r="C7">
        <v>1</v>
      </c>
      <c r="D7">
        <v>4000</v>
      </c>
      <c r="G7" t="s">
        <v>2667</v>
      </c>
      <c r="I7" t="s">
        <v>2668</v>
      </c>
      <c r="J7" t="s">
        <v>2669</v>
      </c>
      <c r="K7" t="s">
        <v>2670</v>
      </c>
      <c r="L7" t="s">
        <v>2671</v>
      </c>
      <c r="M7">
        <v>4000</v>
      </c>
      <c r="N7" t="s">
        <v>2672</v>
      </c>
      <c r="O7" t="s">
        <v>33</v>
      </c>
      <c r="P7" t="s">
        <v>33</v>
      </c>
      <c r="Q7" t="s">
        <v>2673</v>
      </c>
      <c r="S7">
        <v>68</v>
      </c>
      <c r="T7" t="s">
        <v>2670</v>
      </c>
      <c r="U7" t="s">
        <v>2192</v>
      </c>
      <c r="V7" t="s">
        <v>2192</v>
      </c>
      <c r="W7" t="s">
        <v>33</v>
      </c>
      <c r="X7" t="s">
        <v>33</v>
      </c>
      <c r="Y7" t="s">
        <v>2653</v>
      </c>
      <c r="Z7" t="s">
        <v>36</v>
      </c>
      <c r="AA7">
        <v>5</v>
      </c>
      <c r="AB7">
        <v>1</v>
      </c>
      <c r="AC7" t="s">
        <v>511</v>
      </c>
    </row>
    <row r="8" spans="1:29" x14ac:dyDescent="0.2">
      <c r="A8" t="s">
        <v>2674</v>
      </c>
      <c r="B8" t="s">
        <v>2675</v>
      </c>
      <c r="C8">
        <v>1</v>
      </c>
      <c r="D8">
        <v>3500</v>
      </c>
      <c r="G8" t="s">
        <v>2676</v>
      </c>
      <c r="I8" t="s">
        <v>2677</v>
      </c>
      <c r="J8" t="s">
        <v>2669</v>
      </c>
      <c r="K8" t="s">
        <v>2678</v>
      </c>
      <c r="L8" t="s">
        <v>2679</v>
      </c>
      <c r="M8">
        <v>3500</v>
      </c>
      <c r="N8" t="s">
        <v>33</v>
      </c>
      <c r="O8" t="s">
        <v>33</v>
      </c>
      <c r="P8" t="s">
        <v>33</v>
      </c>
      <c r="Q8" t="s">
        <v>33</v>
      </c>
      <c r="T8" t="s">
        <v>2678</v>
      </c>
      <c r="U8" t="s">
        <v>2192</v>
      </c>
      <c r="V8" t="s">
        <v>2192</v>
      </c>
      <c r="W8" t="s">
        <v>33</v>
      </c>
      <c r="X8" t="s">
        <v>33</v>
      </c>
      <c r="Y8" t="s">
        <v>2653</v>
      </c>
      <c r="Z8" t="s">
        <v>36</v>
      </c>
      <c r="AA8">
        <v>5</v>
      </c>
      <c r="AB8">
        <v>1</v>
      </c>
      <c r="AC8" t="s">
        <v>511</v>
      </c>
    </row>
    <row r="9" spans="1:29" x14ac:dyDescent="0.2">
      <c r="A9" t="s">
        <v>2680</v>
      </c>
      <c r="B9" t="s">
        <v>2681</v>
      </c>
      <c r="C9">
        <v>1</v>
      </c>
      <c r="D9">
        <v>2950</v>
      </c>
      <c r="G9" t="s">
        <v>2682</v>
      </c>
      <c r="I9" t="s">
        <v>2683</v>
      </c>
      <c r="J9" t="s">
        <v>2669</v>
      </c>
      <c r="K9" t="s">
        <v>2684</v>
      </c>
      <c r="L9" t="s">
        <v>2685</v>
      </c>
      <c r="M9">
        <v>2950</v>
      </c>
      <c r="N9" t="s">
        <v>1947</v>
      </c>
      <c r="O9" t="s">
        <v>2686</v>
      </c>
      <c r="P9" t="s">
        <v>33</v>
      </c>
      <c r="Q9" t="s">
        <v>2687</v>
      </c>
      <c r="S9">
        <v>68</v>
      </c>
      <c r="T9" t="s">
        <v>2684</v>
      </c>
      <c r="U9" t="s">
        <v>2192</v>
      </c>
      <c r="V9" t="s">
        <v>2192</v>
      </c>
      <c r="W9" t="s">
        <v>33</v>
      </c>
      <c r="X9" t="s">
        <v>33</v>
      </c>
      <c r="Y9" t="s">
        <v>2655</v>
      </c>
      <c r="Z9" t="s">
        <v>67</v>
      </c>
      <c r="AA9">
        <v>13</v>
      </c>
      <c r="AB9">
        <v>1</v>
      </c>
      <c r="AC9" t="s">
        <v>1947</v>
      </c>
    </row>
    <row r="10" spans="1:29" x14ac:dyDescent="0.2">
      <c r="A10" t="s">
        <v>2688</v>
      </c>
      <c r="B10" t="s">
        <v>2689</v>
      </c>
      <c r="C10">
        <v>1</v>
      </c>
      <c r="D10">
        <v>3200</v>
      </c>
      <c r="G10" t="s">
        <v>33</v>
      </c>
      <c r="I10" t="s">
        <v>2690</v>
      </c>
      <c r="J10" t="s">
        <v>2691</v>
      </c>
      <c r="K10" t="s">
        <v>2692</v>
      </c>
      <c r="L10" t="s">
        <v>2693</v>
      </c>
      <c r="M10">
        <v>3200</v>
      </c>
      <c r="N10" t="s">
        <v>67</v>
      </c>
      <c r="O10" t="s">
        <v>2694</v>
      </c>
      <c r="P10" t="s">
        <v>33</v>
      </c>
      <c r="Q10" t="s">
        <v>2695</v>
      </c>
      <c r="S10">
        <v>68</v>
      </c>
      <c r="T10" t="s">
        <v>2692</v>
      </c>
      <c r="U10" t="s">
        <v>2192</v>
      </c>
      <c r="V10" t="s">
        <v>2192</v>
      </c>
      <c r="W10" t="s">
        <v>33</v>
      </c>
      <c r="X10" t="s">
        <v>33</v>
      </c>
      <c r="Y10" t="s">
        <v>2655</v>
      </c>
      <c r="Z10" t="s">
        <v>36</v>
      </c>
      <c r="AA10">
        <v>13</v>
      </c>
      <c r="AB10">
        <v>1</v>
      </c>
      <c r="AC10" t="s">
        <v>1947</v>
      </c>
    </row>
    <row r="11" spans="1:29" x14ac:dyDescent="0.2">
      <c r="A11" t="s">
        <v>2699</v>
      </c>
      <c r="B11" t="s">
        <v>2700</v>
      </c>
      <c r="C11">
        <v>1</v>
      </c>
      <c r="D11">
        <v>4250</v>
      </c>
      <c r="G11" t="s">
        <v>2701</v>
      </c>
      <c r="I11" t="s">
        <v>33</v>
      </c>
      <c r="J11" t="s">
        <v>2702</v>
      </c>
      <c r="K11" t="s">
        <v>2703</v>
      </c>
      <c r="L11" t="s">
        <v>2704</v>
      </c>
      <c r="M11">
        <v>4250</v>
      </c>
      <c r="N11" t="s">
        <v>60</v>
      </c>
      <c r="O11" t="s">
        <v>2705</v>
      </c>
      <c r="P11" t="s">
        <v>33</v>
      </c>
      <c r="Q11" t="s">
        <v>33</v>
      </c>
      <c r="S11">
        <v>85</v>
      </c>
      <c r="T11" t="s">
        <v>2703</v>
      </c>
      <c r="U11" t="s">
        <v>2706</v>
      </c>
      <c r="V11" t="s">
        <v>2706</v>
      </c>
      <c r="W11" t="s">
        <v>33</v>
      </c>
      <c r="X11" t="s">
        <v>33</v>
      </c>
      <c r="Y11" t="s">
        <v>2655</v>
      </c>
      <c r="Z11" t="s">
        <v>511</v>
      </c>
      <c r="AA11">
        <v>13</v>
      </c>
      <c r="AB11">
        <v>1</v>
      </c>
      <c r="AC11" t="s">
        <v>2697</v>
      </c>
    </row>
    <row r="12" spans="1:29" x14ac:dyDescent="0.2">
      <c r="A12" t="s">
        <v>2707</v>
      </c>
      <c r="B12" t="s">
        <v>2700</v>
      </c>
      <c r="C12">
        <v>1</v>
      </c>
      <c r="D12">
        <v>4500</v>
      </c>
      <c r="G12" t="s">
        <v>2708</v>
      </c>
      <c r="I12" t="s">
        <v>33</v>
      </c>
      <c r="J12" t="s">
        <v>2709</v>
      </c>
      <c r="K12" t="s">
        <v>2703</v>
      </c>
      <c r="L12" t="s">
        <v>2710</v>
      </c>
      <c r="M12">
        <v>4500</v>
      </c>
      <c r="N12" t="s">
        <v>60</v>
      </c>
      <c r="O12" t="s">
        <v>2705</v>
      </c>
      <c r="P12" t="s">
        <v>33</v>
      </c>
      <c r="Q12" t="s">
        <v>33</v>
      </c>
      <c r="S12">
        <v>42</v>
      </c>
      <c r="T12" t="s">
        <v>2703</v>
      </c>
      <c r="U12" t="s">
        <v>845</v>
      </c>
      <c r="V12" t="s">
        <v>2711</v>
      </c>
      <c r="W12" t="s">
        <v>33</v>
      </c>
      <c r="X12" t="s">
        <v>33</v>
      </c>
      <c r="Y12" t="s">
        <v>2655</v>
      </c>
      <c r="Z12" t="s">
        <v>36</v>
      </c>
      <c r="AA12">
        <v>13</v>
      </c>
      <c r="AB12">
        <v>1</v>
      </c>
      <c r="AC12" t="s">
        <v>2654</v>
      </c>
    </row>
    <row r="13" spans="1:29" x14ac:dyDescent="0.2">
      <c r="A13" t="s">
        <v>2712</v>
      </c>
      <c r="B13" t="s">
        <v>2713</v>
      </c>
      <c r="C13">
        <v>1</v>
      </c>
      <c r="D13">
        <v>3300</v>
      </c>
      <c r="G13" t="s">
        <v>2714</v>
      </c>
      <c r="I13" t="s">
        <v>2715</v>
      </c>
      <c r="J13" t="s">
        <v>2716</v>
      </c>
      <c r="K13" t="s">
        <v>2717</v>
      </c>
      <c r="L13" t="s">
        <v>2718</v>
      </c>
      <c r="M13">
        <v>3300</v>
      </c>
      <c r="N13" t="s">
        <v>67</v>
      </c>
      <c r="O13" t="s">
        <v>2719</v>
      </c>
      <c r="P13" t="s">
        <v>33</v>
      </c>
      <c r="Q13" t="s">
        <v>2720</v>
      </c>
      <c r="S13">
        <v>68</v>
      </c>
      <c r="T13" t="s">
        <v>2717</v>
      </c>
      <c r="U13" t="s">
        <v>2192</v>
      </c>
      <c r="V13" t="s">
        <v>2192</v>
      </c>
      <c r="W13" t="s">
        <v>33</v>
      </c>
      <c r="X13" t="s">
        <v>33</v>
      </c>
      <c r="Y13" t="s">
        <v>33</v>
      </c>
      <c r="Z13" t="s">
        <v>85</v>
      </c>
      <c r="AB13">
        <v>1</v>
      </c>
      <c r="AC13" t="s">
        <v>33</v>
      </c>
    </row>
    <row r="14" spans="1:29" x14ac:dyDescent="0.2">
      <c r="A14" t="s">
        <v>2721</v>
      </c>
      <c r="B14" t="s">
        <v>2722</v>
      </c>
      <c r="C14">
        <v>1</v>
      </c>
      <c r="D14">
        <v>3100</v>
      </c>
      <c r="G14" t="s">
        <v>2723</v>
      </c>
      <c r="I14" t="s">
        <v>2724</v>
      </c>
      <c r="J14" t="s">
        <v>2725</v>
      </c>
      <c r="K14" t="s">
        <v>2726</v>
      </c>
      <c r="L14" t="s">
        <v>2727</v>
      </c>
      <c r="M14">
        <v>3100</v>
      </c>
      <c r="N14" t="s">
        <v>36</v>
      </c>
      <c r="O14" t="s">
        <v>33</v>
      </c>
      <c r="P14" t="s">
        <v>33</v>
      </c>
      <c r="Q14" t="s">
        <v>2728</v>
      </c>
      <c r="S14">
        <v>68</v>
      </c>
      <c r="T14" t="s">
        <v>2726</v>
      </c>
      <c r="U14" t="s">
        <v>2192</v>
      </c>
      <c r="V14" t="s">
        <v>2192</v>
      </c>
      <c r="W14" t="s">
        <v>33</v>
      </c>
      <c r="X14" t="s">
        <v>33</v>
      </c>
      <c r="Y14" t="s">
        <v>2653</v>
      </c>
      <c r="Z14" t="s">
        <v>36</v>
      </c>
      <c r="AA14">
        <v>5</v>
      </c>
      <c r="AB14">
        <v>1</v>
      </c>
      <c r="AC14" t="s">
        <v>33</v>
      </c>
    </row>
    <row r="15" spans="1:29" x14ac:dyDescent="0.2">
      <c r="A15" t="s">
        <v>2729</v>
      </c>
      <c r="B15" t="s">
        <v>2730</v>
      </c>
      <c r="C15">
        <v>1</v>
      </c>
      <c r="D15">
        <v>3400</v>
      </c>
      <c r="G15" t="s">
        <v>2731</v>
      </c>
      <c r="I15" t="s">
        <v>2732</v>
      </c>
      <c r="J15" t="s">
        <v>2733</v>
      </c>
      <c r="K15" t="s">
        <v>2734</v>
      </c>
      <c r="L15" t="s">
        <v>2735</v>
      </c>
      <c r="M15">
        <v>3400</v>
      </c>
      <c r="N15" t="s">
        <v>511</v>
      </c>
      <c r="O15" t="s">
        <v>33</v>
      </c>
      <c r="P15" t="s">
        <v>33</v>
      </c>
      <c r="Q15" t="s">
        <v>2736</v>
      </c>
      <c r="S15">
        <v>103</v>
      </c>
      <c r="T15" t="s">
        <v>2734</v>
      </c>
      <c r="U15" t="s">
        <v>2347</v>
      </c>
      <c r="V15" t="s">
        <v>2347</v>
      </c>
      <c r="W15" t="s">
        <v>33</v>
      </c>
      <c r="X15" t="s">
        <v>33</v>
      </c>
      <c r="Y15" t="s">
        <v>33</v>
      </c>
      <c r="Z15" t="s">
        <v>36</v>
      </c>
      <c r="AB15">
        <v>1</v>
      </c>
      <c r="AC15" t="s">
        <v>2697</v>
      </c>
    </row>
    <row r="16" spans="1:29" x14ac:dyDescent="0.2">
      <c r="A16" t="s">
        <v>2738</v>
      </c>
      <c r="B16" t="s">
        <v>2739</v>
      </c>
      <c r="C16">
        <v>1</v>
      </c>
      <c r="D16">
        <v>3650</v>
      </c>
      <c r="G16" t="s">
        <v>2740</v>
      </c>
      <c r="I16" t="s">
        <v>2741</v>
      </c>
      <c r="J16" t="s">
        <v>2742</v>
      </c>
      <c r="K16" t="s">
        <v>2743</v>
      </c>
      <c r="L16" t="s">
        <v>2744</v>
      </c>
      <c r="M16">
        <v>3650</v>
      </c>
      <c r="N16" t="s">
        <v>2672</v>
      </c>
      <c r="O16" t="s">
        <v>33</v>
      </c>
      <c r="P16" t="s">
        <v>33</v>
      </c>
      <c r="Q16" t="s">
        <v>2745</v>
      </c>
      <c r="S16">
        <v>68</v>
      </c>
      <c r="T16" t="s">
        <v>2743</v>
      </c>
      <c r="U16" t="s">
        <v>2192</v>
      </c>
      <c r="V16" t="s">
        <v>2192</v>
      </c>
      <c r="W16" t="s">
        <v>33</v>
      </c>
      <c r="X16" t="s">
        <v>33</v>
      </c>
      <c r="Y16" t="s">
        <v>33</v>
      </c>
      <c r="Z16" t="s">
        <v>1947</v>
      </c>
      <c r="AB16">
        <v>1</v>
      </c>
      <c r="AC16" t="s">
        <v>33</v>
      </c>
    </row>
    <row r="17" spans="1:29" x14ac:dyDescent="0.2">
      <c r="A17" t="s">
        <v>2746</v>
      </c>
      <c r="B17" t="s">
        <v>2747</v>
      </c>
      <c r="C17">
        <v>1</v>
      </c>
      <c r="D17">
        <v>3500</v>
      </c>
      <c r="G17" t="s">
        <v>2748</v>
      </c>
      <c r="I17" t="s">
        <v>2749</v>
      </c>
      <c r="J17" t="s">
        <v>2737</v>
      </c>
      <c r="K17" t="s">
        <v>2750</v>
      </c>
      <c r="L17" t="s">
        <v>2751</v>
      </c>
      <c r="M17">
        <v>3500</v>
      </c>
      <c r="N17" t="s">
        <v>1947</v>
      </c>
      <c r="O17" t="s">
        <v>2752</v>
      </c>
      <c r="P17" t="s">
        <v>33</v>
      </c>
      <c r="Q17" t="s">
        <v>2753</v>
      </c>
      <c r="S17">
        <v>68</v>
      </c>
      <c r="T17" t="s">
        <v>2750</v>
      </c>
      <c r="U17" t="s">
        <v>2192</v>
      </c>
      <c r="V17" t="s">
        <v>2192</v>
      </c>
      <c r="W17" t="s">
        <v>33</v>
      </c>
      <c r="X17" t="s">
        <v>33</v>
      </c>
      <c r="Y17" t="s">
        <v>33</v>
      </c>
      <c r="Z17" t="s">
        <v>67</v>
      </c>
      <c r="AB17">
        <v>1</v>
      </c>
      <c r="AC17" t="s">
        <v>33</v>
      </c>
    </row>
    <row r="18" spans="1:29" x14ac:dyDescent="0.2">
      <c r="A18" t="s">
        <v>2754</v>
      </c>
      <c r="B18" t="s">
        <v>2755</v>
      </c>
      <c r="C18">
        <v>1</v>
      </c>
      <c r="D18">
        <v>4100</v>
      </c>
      <c r="G18" t="s">
        <v>2756</v>
      </c>
      <c r="I18" t="s">
        <v>2757</v>
      </c>
      <c r="J18" t="s">
        <v>2758</v>
      </c>
      <c r="K18" t="s">
        <v>2759</v>
      </c>
      <c r="L18" t="s">
        <v>2760</v>
      </c>
      <c r="M18">
        <v>4100</v>
      </c>
      <c r="N18" t="s">
        <v>36</v>
      </c>
      <c r="O18" t="s">
        <v>33</v>
      </c>
      <c r="P18" t="s">
        <v>33</v>
      </c>
      <c r="Q18" t="s">
        <v>2761</v>
      </c>
      <c r="S18">
        <v>68</v>
      </c>
      <c r="T18" t="s">
        <v>2759</v>
      </c>
      <c r="U18" t="s">
        <v>2192</v>
      </c>
      <c r="V18" t="s">
        <v>2192</v>
      </c>
      <c r="W18" t="s">
        <v>33</v>
      </c>
      <c r="X18" t="s">
        <v>33</v>
      </c>
      <c r="Y18" t="s">
        <v>33</v>
      </c>
      <c r="Z18" t="s">
        <v>36</v>
      </c>
      <c r="AB18">
        <v>1</v>
      </c>
      <c r="AC18" t="s">
        <v>2654</v>
      </c>
    </row>
    <row r="19" spans="1:29" x14ac:dyDescent="0.2">
      <c r="A19" t="s">
        <v>2762</v>
      </c>
      <c r="B19" t="s">
        <v>2763</v>
      </c>
      <c r="C19">
        <v>1</v>
      </c>
      <c r="D19">
        <v>3000</v>
      </c>
      <c r="G19" t="s">
        <v>2764</v>
      </c>
      <c r="I19" t="s">
        <v>2765</v>
      </c>
      <c r="J19" t="s">
        <v>2766</v>
      </c>
      <c r="K19" t="s">
        <v>2767</v>
      </c>
      <c r="L19" t="s">
        <v>2768</v>
      </c>
      <c r="M19">
        <v>3000</v>
      </c>
      <c r="N19" t="s">
        <v>67</v>
      </c>
      <c r="O19" t="s">
        <v>33</v>
      </c>
      <c r="P19" t="s">
        <v>33</v>
      </c>
      <c r="Q19" t="s">
        <v>2769</v>
      </c>
      <c r="S19">
        <v>60</v>
      </c>
      <c r="T19" t="s">
        <v>2767</v>
      </c>
      <c r="U19" t="s">
        <v>1503</v>
      </c>
      <c r="V19" t="s">
        <v>2698</v>
      </c>
      <c r="W19" t="s">
        <v>33</v>
      </c>
      <c r="X19" t="s">
        <v>33</v>
      </c>
      <c r="Y19" t="s">
        <v>2655</v>
      </c>
      <c r="Z19" t="s">
        <v>67</v>
      </c>
      <c r="AA19">
        <v>13</v>
      </c>
      <c r="AB19">
        <v>1</v>
      </c>
      <c r="AC19" t="s">
        <v>2697</v>
      </c>
    </row>
    <row r="20" spans="1:29" x14ac:dyDescent="0.2">
      <c r="A20" t="s">
        <v>2770</v>
      </c>
      <c r="B20" t="s">
        <v>2771</v>
      </c>
      <c r="C20">
        <v>1</v>
      </c>
      <c r="D20">
        <v>3300</v>
      </c>
      <c r="G20" t="s">
        <v>2772</v>
      </c>
      <c r="I20" t="s">
        <v>2773</v>
      </c>
      <c r="J20" t="s">
        <v>2774</v>
      </c>
      <c r="K20" t="s">
        <v>2775</v>
      </c>
      <c r="L20" t="s">
        <v>2776</v>
      </c>
      <c r="M20">
        <v>3300</v>
      </c>
      <c r="N20" t="s">
        <v>33</v>
      </c>
      <c r="O20" t="s">
        <v>33</v>
      </c>
      <c r="P20" t="s">
        <v>33</v>
      </c>
      <c r="Q20" t="s">
        <v>33</v>
      </c>
      <c r="T20" t="s">
        <v>2775</v>
      </c>
      <c r="U20" t="s">
        <v>33</v>
      </c>
      <c r="V20" t="s">
        <v>33</v>
      </c>
      <c r="W20" t="s">
        <v>33</v>
      </c>
      <c r="X20" t="s">
        <v>33</v>
      </c>
      <c r="Y20" t="s">
        <v>2655</v>
      </c>
      <c r="Z20" t="s">
        <v>85</v>
      </c>
      <c r="AA20">
        <v>13</v>
      </c>
      <c r="AB20">
        <v>1</v>
      </c>
      <c r="AC20" t="s">
        <v>1947</v>
      </c>
    </row>
    <row r="21" spans="1:29" x14ac:dyDescent="0.2">
      <c r="A21" t="s">
        <v>2777</v>
      </c>
      <c r="B21" t="s">
        <v>2778</v>
      </c>
      <c r="C21">
        <v>1</v>
      </c>
      <c r="D21">
        <v>5300</v>
      </c>
      <c r="G21" t="s">
        <v>2779</v>
      </c>
      <c r="I21" t="s">
        <v>2780</v>
      </c>
      <c r="J21" t="s">
        <v>2781</v>
      </c>
      <c r="K21" t="s">
        <v>2782</v>
      </c>
      <c r="L21" t="s">
        <v>2783</v>
      </c>
      <c r="M21">
        <v>5300</v>
      </c>
      <c r="N21" t="s">
        <v>73</v>
      </c>
      <c r="O21" t="s">
        <v>2784</v>
      </c>
      <c r="P21" t="s">
        <v>33</v>
      </c>
      <c r="Q21" t="s">
        <v>33</v>
      </c>
      <c r="S21">
        <v>11</v>
      </c>
      <c r="T21" t="s">
        <v>2782</v>
      </c>
      <c r="U21" t="s">
        <v>132</v>
      </c>
      <c r="V21" t="s">
        <v>2696</v>
      </c>
      <c r="W21" t="s">
        <v>33</v>
      </c>
      <c r="X21" t="s">
        <v>33</v>
      </c>
      <c r="Y21" t="s">
        <v>33</v>
      </c>
      <c r="Z21" t="s">
        <v>511</v>
      </c>
      <c r="AB21">
        <v>1</v>
      </c>
      <c r="AC21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95CFB-6F81-4B4C-B4D9-B40BC32A14AF}">
  <dimension ref="A1:AE21"/>
  <sheetViews>
    <sheetView workbookViewId="0"/>
  </sheetViews>
  <sheetFormatPr defaultRowHeight="15" x14ac:dyDescent="0.2"/>
  <cols>
    <col min="1" max="1" width="13.44921875" style="4" customWidth="1"/>
    <col min="2" max="2" width="28.65234375" style="4" customWidth="1"/>
    <col min="3" max="4" width="9.14453125" style="4"/>
    <col min="5" max="5" width="12.375" style="4" customWidth="1"/>
    <col min="6" max="6" width="11.97265625" style="4" customWidth="1"/>
    <col min="7" max="7" width="52.328125" style="4" customWidth="1"/>
    <col min="8" max="11" width="9.14453125" style="4"/>
    <col min="12" max="12" width="33.8984375" style="4" customWidth="1"/>
    <col min="13" max="31" width="9.14453125" style="4"/>
  </cols>
  <sheetData>
    <row r="1" spans="1:29" x14ac:dyDescent="0.2">
      <c r="A1" s="2" t="s">
        <v>0</v>
      </c>
      <c r="B1" s="2" t="s">
        <v>1</v>
      </c>
      <c r="C1" s="2" t="s">
        <v>2606</v>
      </c>
      <c r="D1" s="2" t="s">
        <v>2</v>
      </c>
      <c r="E1" s="2" t="s">
        <v>2607</v>
      </c>
      <c r="F1" s="2" t="s">
        <v>2608</v>
      </c>
      <c r="G1" s="2" t="s">
        <v>2609</v>
      </c>
      <c r="H1" s="2" t="s">
        <v>2610</v>
      </c>
      <c r="I1" s="2" t="s">
        <v>3</v>
      </c>
      <c r="J1" s="2" t="s">
        <v>2611</v>
      </c>
      <c r="K1" s="2" t="s">
        <v>2612</v>
      </c>
      <c r="L1" s="2" t="s">
        <v>5</v>
      </c>
      <c r="M1" s="2" t="s">
        <v>2613</v>
      </c>
      <c r="N1" s="2" t="s">
        <v>2614</v>
      </c>
      <c r="O1" s="2" t="s">
        <v>2615</v>
      </c>
      <c r="P1" s="2" t="s">
        <v>2616</v>
      </c>
      <c r="Q1" s="2" t="s">
        <v>2617</v>
      </c>
      <c r="R1" s="2" t="s">
        <v>2618</v>
      </c>
      <c r="S1" s="2" t="s">
        <v>2619</v>
      </c>
      <c r="T1" s="2" t="s">
        <v>2620</v>
      </c>
      <c r="U1" s="2" t="s">
        <v>2621</v>
      </c>
      <c r="V1" s="2" t="s">
        <v>2622</v>
      </c>
      <c r="W1" s="2" t="s">
        <v>2623</v>
      </c>
      <c r="X1" s="2" t="s">
        <v>2624</v>
      </c>
      <c r="Y1" s="2" t="s">
        <v>2625</v>
      </c>
      <c r="Z1" s="2" t="s">
        <v>2626</v>
      </c>
      <c r="AA1" s="2" t="s">
        <v>2627</v>
      </c>
      <c r="AB1" s="2" t="s">
        <v>2628</v>
      </c>
      <c r="AC1" s="2" t="s">
        <v>2629</v>
      </c>
    </row>
    <row r="2" spans="1:29" x14ac:dyDescent="0.2">
      <c r="A2" s="3" t="s">
        <v>2631</v>
      </c>
      <c r="B2" s="3" t="s">
        <v>2632</v>
      </c>
      <c r="C2" s="4">
        <v>1</v>
      </c>
      <c r="D2" s="4">
        <v>3500</v>
      </c>
      <c r="G2" s="3" t="s">
        <v>33</v>
      </c>
      <c r="I2" s="3" t="s">
        <v>2633</v>
      </c>
      <c r="J2" s="4" t="s">
        <v>2630</v>
      </c>
      <c r="K2" s="3" t="s">
        <v>2634</v>
      </c>
      <c r="L2" s="3" t="s">
        <v>2635</v>
      </c>
      <c r="M2" s="4">
        <v>3500</v>
      </c>
      <c r="N2" s="3" t="s">
        <v>33</v>
      </c>
      <c r="O2" s="3" t="s">
        <v>33</v>
      </c>
      <c r="P2" s="3" t="s">
        <v>33</v>
      </c>
      <c r="Q2" s="3" t="s">
        <v>33</v>
      </c>
      <c r="S2" s="4">
        <v>68</v>
      </c>
      <c r="T2" s="3" t="s">
        <v>2634</v>
      </c>
      <c r="U2" s="3" t="s">
        <v>2192</v>
      </c>
      <c r="V2" s="3" t="s">
        <v>2192</v>
      </c>
      <c r="W2" s="3" t="s">
        <v>33</v>
      </c>
      <c r="X2" s="3" t="s">
        <v>33</v>
      </c>
      <c r="Y2" s="3" t="s">
        <v>33</v>
      </c>
      <c r="Z2" s="3" t="s">
        <v>33</v>
      </c>
      <c r="AC2" s="3" t="s">
        <v>33</v>
      </c>
    </row>
    <row r="3" spans="1:29" x14ac:dyDescent="0.2">
      <c r="A3" s="3" t="s">
        <v>2636</v>
      </c>
      <c r="B3" s="3" t="s">
        <v>2637</v>
      </c>
      <c r="C3" s="4">
        <v>1</v>
      </c>
      <c r="D3" s="4">
        <v>6500</v>
      </c>
      <c r="G3" s="3" t="s">
        <v>33</v>
      </c>
      <c r="I3" s="3" t="s">
        <v>2638</v>
      </c>
      <c r="J3" s="4" t="s">
        <v>2639</v>
      </c>
      <c r="K3" s="3" t="s">
        <v>2640</v>
      </c>
      <c r="L3" s="3" t="s">
        <v>2635</v>
      </c>
      <c r="M3" s="4">
        <v>6500</v>
      </c>
      <c r="N3" s="3" t="s">
        <v>33</v>
      </c>
      <c r="O3" s="3" t="s">
        <v>33</v>
      </c>
      <c r="P3" s="3" t="s">
        <v>33</v>
      </c>
      <c r="Q3" s="3" t="s">
        <v>33</v>
      </c>
      <c r="S3" s="4">
        <v>68</v>
      </c>
      <c r="T3" s="3" t="s">
        <v>2640</v>
      </c>
      <c r="U3" s="3" t="s">
        <v>2192</v>
      </c>
      <c r="V3" s="3" t="s">
        <v>2192</v>
      </c>
      <c r="W3" s="3" t="s">
        <v>33</v>
      </c>
      <c r="X3" s="3" t="s">
        <v>33</v>
      </c>
      <c r="Y3" s="3" t="s">
        <v>33</v>
      </c>
      <c r="Z3" s="3" t="s">
        <v>33</v>
      </c>
      <c r="AC3" s="3" t="s">
        <v>33</v>
      </c>
    </row>
    <row r="4" spans="1:29" x14ac:dyDescent="0.2">
      <c r="A4" s="3" t="s">
        <v>2641</v>
      </c>
      <c r="B4" s="3" t="s">
        <v>2642</v>
      </c>
      <c r="C4" s="4">
        <v>1</v>
      </c>
      <c r="D4" s="4">
        <v>5000</v>
      </c>
      <c r="G4" s="3" t="s">
        <v>33</v>
      </c>
      <c r="I4" s="3" t="s">
        <v>2643</v>
      </c>
      <c r="J4" s="4" t="s">
        <v>2644</v>
      </c>
      <c r="K4" s="3" t="s">
        <v>2645</v>
      </c>
      <c r="L4" s="3" t="s">
        <v>2646</v>
      </c>
      <c r="M4" s="4">
        <v>5000</v>
      </c>
      <c r="N4" s="3" t="s">
        <v>33</v>
      </c>
      <c r="O4" s="3" t="s">
        <v>33</v>
      </c>
      <c r="P4" s="3" t="s">
        <v>33</v>
      </c>
      <c r="Q4" s="3" t="s">
        <v>33</v>
      </c>
      <c r="S4" s="4">
        <v>68</v>
      </c>
      <c r="T4" s="3" t="s">
        <v>2645</v>
      </c>
      <c r="U4" s="3" t="s">
        <v>2192</v>
      </c>
      <c r="V4" s="3" t="s">
        <v>2192</v>
      </c>
      <c r="W4" s="3" t="s">
        <v>33</v>
      </c>
      <c r="X4" s="3" t="s">
        <v>33</v>
      </c>
      <c r="Y4" s="3" t="s">
        <v>33</v>
      </c>
      <c r="Z4" s="3" t="s">
        <v>33</v>
      </c>
      <c r="AC4" s="3" t="s">
        <v>33</v>
      </c>
    </row>
    <row r="5" spans="1:29" x14ac:dyDescent="0.2">
      <c r="A5" s="3" t="s">
        <v>2647</v>
      </c>
      <c r="B5" s="3" t="s">
        <v>2648</v>
      </c>
      <c r="C5" s="4">
        <v>1</v>
      </c>
      <c r="D5" s="4">
        <v>4000</v>
      </c>
      <c r="G5" s="3" t="s">
        <v>33</v>
      </c>
      <c r="I5" s="3" t="s">
        <v>2649</v>
      </c>
      <c r="J5" s="4" t="s">
        <v>2650</v>
      </c>
      <c r="K5" s="3" t="s">
        <v>2651</v>
      </c>
      <c r="L5" s="3" t="s">
        <v>2652</v>
      </c>
      <c r="M5" s="4">
        <v>4000</v>
      </c>
      <c r="N5" s="3" t="s">
        <v>33</v>
      </c>
      <c r="O5" s="3" t="s">
        <v>33</v>
      </c>
      <c r="P5" s="3" t="s">
        <v>33</v>
      </c>
      <c r="Q5" s="3" t="s">
        <v>33</v>
      </c>
      <c r="S5" s="4">
        <v>68</v>
      </c>
      <c r="T5" s="3" t="s">
        <v>2651</v>
      </c>
      <c r="U5" s="3" t="s">
        <v>2192</v>
      </c>
      <c r="V5" s="3" t="s">
        <v>2192</v>
      </c>
      <c r="W5" s="3" t="s">
        <v>33</v>
      </c>
      <c r="X5" s="3" t="s">
        <v>33</v>
      </c>
      <c r="Y5" s="3" t="s">
        <v>33</v>
      </c>
      <c r="Z5" s="3" t="s">
        <v>33</v>
      </c>
      <c r="AC5" s="3" t="s">
        <v>33</v>
      </c>
    </row>
    <row r="6" spans="1:29" x14ac:dyDescent="0.2">
      <c r="A6" s="3" t="s">
        <v>2656</v>
      </c>
      <c r="B6" s="3" t="s">
        <v>2657</v>
      </c>
      <c r="C6" s="4">
        <v>1</v>
      </c>
      <c r="D6" s="4">
        <v>3200</v>
      </c>
      <c r="G6" s="3" t="s">
        <v>2658</v>
      </c>
      <c r="I6" s="3" t="s">
        <v>2659</v>
      </c>
      <c r="J6" s="4" t="s">
        <v>2660</v>
      </c>
      <c r="K6" s="3" t="s">
        <v>2661</v>
      </c>
      <c r="L6" s="3" t="s">
        <v>2662</v>
      </c>
      <c r="M6" s="4">
        <v>3200</v>
      </c>
      <c r="N6" s="3" t="s">
        <v>36</v>
      </c>
      <c r="O6" s="3" t="s">
        <v>2663</v>
      </c>
      <c r="P6" s="3" t="s">
        <v>33</v>
      </c>
      <c r="Q6" s="3" t="s">
        <v>2664</v>
      </c>
      <c r="S6" s="4">
        <v>68</v>
      </c>
      <c r="T6" s="3" t="s">
        <v>2661</v>
      </c>
      <c r="U6" s="3" t="s">
        <v>2192</v>
      </c>
      <c r="V6" s="3" t="s">
        <v>2192</v>
      </c>
      <c r="W6" s="3" t="s">
        <v>33</v>
      </c>
      <c r="X6" s="3" t="s">
        <v>33</v>
      </c>
      <c r="Y6" s="3" t="s">
        <v>2655</v>
      </c>
      <c r="Z6" s="3" t="s">
        <v>36</v>
      </c>
      <c r="AA6" s="4">
        <v>13</v>
      </c>
      <c r="AB6" s="4">
        <v>1</v>
      </c>
      <c r="AC6" s="3" t="s">
        <v>1947</v>
      </c>
    </row>
    <row r="7" spans="1:29" x14ac:dyDescent="0.2">
      <c r="A7" s="3" t="s">
        <v>2665</v>
      </c>
      <c r="B7" s="3" t="s">
        <v>2666</v>
      </c>
      <c r="C7" s="4">
        <v>1</v>
      </c>
      <c r="D7" s="4">
        <v>4000</v>
      </c>
      <c r="G7" s="3" t="s">
        <v>2667</v>
      </c>
      <c r="I7" s="3" t="s">
        <v>2668</v>
      </c>
      <c r="J7" s="4" t="s">
        <v>2669</v>
      </c>
      <c r="K7" s="3" t="s">
        <v>2670</v>
      </c>
      <c r="L7" s="3" t="s">
        <v>2671</v>
      </c>
      <c r="M7" s="4">
        <v>4000</v>
      </c>
      <c r="N7" s="3" t="s">
        <v>2672</v>
      </c>
      <c r="O7" s="3" t="s">
        <v>33</v>
      </c>
      <c r="P7" s="3" t="s">
        <v>33</v>
      </c>
      <c r="Q7" s="3" t="s">
        <v>2673</v>
      </c>
      <c r="S7" s="4">
        <v>68</v>
      </c>
      <c r="T7" s="3" t="s">
        <v>2670</v>
      </c>
      <c r="U7" s="3" t="s">
        <v>2192</v>
      </c>
      <c r="V7" s="3" t="s">
        <v>2192</v>
      </c>
      <c r="W7" s="3" t="s">
        <v>33</v>
      </c>
      <c r="X7" s="3" t="s">
        <v>33</v>
      </c>
      <c r="Y7" s="3" t="s">
        <v>2653</v>
      </c>
      <c r="Z7" s="3" t="s">
        <v>36</v>
      </c>
      <c r="AA7" s="4">
        <v>5</v>
      </c>
      <c r="AB7" s="4">
        <v>1</v>
      </c>
      <c r="AC7" s="3" t="s">
        <v>511</v>
      </c>
    </row>
    <row r="8" spans="1:29" x14ac:dyDescent="0.2">
      <c r="A8" s="3" t="s">
        <v>2674</v>
      </c>
      <c r="B8" s="3" t="s">
        <v>2675</v>
      </c>
      <c r="C8" s="4">
        <v>1</v>
      </c>
      <c r="D8" s="4">
        <v>3500</v>
      </c>
      <c r="G8" s="3" t="s">
        <v>2676</v>
      </c>
      <c r="I8" s="3" t="s">
        <v>2677</v>
      </c>
      <c r="J8" s="4" t="s">
        <v>2669</v>
      </c>
      <c r="K8" s="3" t="s">
        <v>2678</v>
      </c>
      <c r="L8" s="3" t="s">
        <v>2679</v>
      </c>
      <c r="M8" s="4">
        <v>3500</v>
      </c>
      <c r="N8" s="3" t="s">
        <v>33</v>
      </c>
      <c r="O8" s="3" t="s">
        <v>33</v>
      </c>
      <c r="P8" s="3" t="s">
        <v>33</v>
      </c>
      <c r="Q8" s="3" t="s">
        <v>33</v>
      </c>
      <c r="T8" s="3" t="s">
        <v>2678</v>
      </c>
      <c r="U8" s="3" t="s">
        <v>2192</v>
      </c>
      <c r="V8" s="3" t="s">
        <v>2192</v>
      </c>
      <c r="W8" s="3" t="s">
        <v>33</v>
      </c>
      <c r="X8" s="3" t="s">
        <v>33</v>
      </c>
      <c r="Y8" s="3" t="s">
        <v>2653</v>
      </c>
      <c r="Z8" s="3" t="s">
        <v>36</v>
      </c>
      <c r="AA8" s="4">
        <v>5</v>
      </c>
      <c r="AB8" s="4">
        <v>1</v>
      </c>
      <c r="AC8" s="3" t="s">
        <v>511</v>
      </c>
    </row>
    <row r="9" spans="1:29" x14ac:dyDescent="0.2">
      <c r="A9" s="3" t="s">
        <v>2680</v>
      </c>
      <c r="B9" s="3" t="s">
        <v>2681</v>
      </c>
      <c r="C9" s="4">
        <v>1</v>
      </c>
      <c r="D9" s="4">
        <v>2950</v>
      </c>
      <c r="G9" s="3" t="s">
        <v>2682</v>
      </c>
      <c r="I9" s="3" t="s">
        <v>2683</v>
      </c>
      <c r="J9" s="4" t="s">
        <v>2669</v>
      </c>
      <c r="K9" s="3" t="s">
        <v>2684</v>
      </c>
      <c r="L9" s="3" t="s">
        <v>2685</v>
      </c>
      <c r="M9" s="4">
        <v>2950</v>
      </c>
      <c r="N9" s="3" t="s">
        <v>1947</v>
      </c>
      <c r="O9" s="3" t="s">
        <v>2686</v>
      </c>
      <c r="P9" s="3" t="s">
        <v>33</v>
      </c>
      <c r="Q9" s="3" t="s">
        <v>2687</v>
      </c>
      <c r="S9" s="4">
        <v>68</v>
      </c>
      <c r="T9" s="3" t="s">
        <v>2684</v>
      </c>
      <c r="U9" s="3" t="s">
        <v>2192</v>
      </c>
      <c r="V9" s="3" t="s">
        <v>2192</v>
      </c>
      <c r="W9" s="3" t="s">
        <v>33</v>
      </c>
      <c r="X9" s="3" t="s">
        <v>33</v>
      </c>
      <c r="Y9" s="3" t="s">
        <v>2655</v>
      </c>
      <c r="Z9" s="3" t="s">
        <v>67</v>
      </c>
      <c r="AA9" s="4">
        <v>13</v>
      </c>
      <c r="AB9" s="4">
        <v>1</v>
      </c>
      <c r="AC9" s="3" t="s">
        <v>1947</v>
      </c>
    </row>
    <row r="10" spans="1:29" x14ac:dyDescent="0.2">
      <c r="A10" s="3" t="s">
        <v>2688</v>
      </c>
      <c r="B10" s="3" t="s">
        <v>2689</v>
      </c>
      <c r="C10" s="4">
        <v>1</v>
      </c>
      <c r="D10" s="4">
        <v>3200</v>
      </c>
      <c r="G10" s="3" t="s">
        <v>33</v>
      </c>
      <c r="I10" s="3" t="s">
        <v>2690</v>
      </c>
      <c r="J10" s="4" t="s">
        <v>2691</v>
      </c>
      <c r="K10" s="3" t="s">
        <v>2692</v>
      </c>
      <c r="L10" s="3" t="s">
        <v>2693</v>
      </c>
      <c r="M10" s="4">
        <v>3200</v>
      </c>
      <c r="N10" s="3" t="s">
        <v>67</v>
      </c>
      <c r="O10" s="3" t="s">
        <v>2694</v>
      </c>
      <c r="P10" s="3" t="s">
        <v>33</v>
      </c>
      <c r="Q10" s="3" t="s">
        <v>2695</v>
      </c>
      <c r="S10" s="4">
        <v>68</v>
      </c>
      <c r="T10" s="3" t="s">
        <v>2692</v>
      </c>
      <c r="U10" s="3" t="s">
        <v>2192</v>
      </c>
      <c r="V10" s="3" t="s">
        <v>2192</v>
      </c>
      <c r="W10" s="3" t="s">
        <v>33</v>
      </c>
      <c r="X10" s="3" t="s">
        <v>33</v>
      </c>
      <c r="Y10" s="3" t="s">
        <v>2655</v>
      </c>
      <c r="Z10" s="3" t="s">
        <v>36</v>
      </c>
      <c r="AA10" s="4">
        <v>13</v>
      </c>
      <c r="AB10" s="4">
        <v>1</v>
      </c>
      <c r="AC10" s="3" t="s">
        <v>1947</v>
      </c>
    </row>
    <row r="11" spans="1:29" x14ac:dyDescent="0.2">
      <c r="A11" s="3" t="s">
        <v>2699</v>
      </c>
      <c r="B11" s="3" t="s">
        <v>2700</v>
      </c>
      <c r="C11" s="4">
        <v>1</v>
      </c>
      <c r="D11" s="4">
        <v>4250</v>
      </c>
      <c r="G11" s="3" t="s">
        <v>2701</v>
      </c>
      <c r="I11" s="3" t="s">
        <v>33</v>
      </c>
      <c r="J11" s="4" t="s">
        <v>2702</v>
      </c>
      <c r="K11" s="3" t="s">
        <v>2703</v>
      </c>
      <c r="L11" s="3" t="s">
        <v>2704</v>
      </c>
      <c r="M11" s="4">
        <v>4250</v>
      </c>
      <c r="N11" s="3" t="s">
        <v>60</v>
      </c>
      <c r="O11" s="3" t="s">
        <v>2705</v>
      </c>
      <c r="P11" s="3" t="s">
        <v>33</v>
      </c>
      <c r="Q11" s="3" t="s">
        <v>33</v>
      </c>
      <c r="S11" s="4">
        <v>85</v>
      </c>
      <c r="T11" s="3" t="s">
        <v>2703</v>
      </c>
      <c r="U11" s="3" t="s">
        <v>2706</v>
      </c>
      <c r="V11" s="3" t="s">
        <v>2706</v>
      </c>
      <c r="W11" s="3" t="s">
        <v>33</v>
      </c>
      <c r="X11" s="3" t="s">
        <v>33</v>
      </c>
      <c r="Y11" s="3" t="s">
        <v>2655</v>
      </c>
      <c r="Z11" s="3" t="s">
        <v>511</v>
      </c>
      <c r="AA11" s="4">
        <v>13</v>
      </c>
      <c r="AB11" s="4">
        <v>1</v>
      </c>
      <c r="AC11" s="3" t="s">
        <v>2697</v>
      </c>
    </row>
    <row r="12" spans="1:29" x14ac:dyDescent="0.2">
      <c r="A12" s="3" t="s">
        <v>2707</v>
      </c>
      <c r="B12" s="3" t="s">
        <v>2700</v>
      </c>
      <c r="C12" s="4">
        <v>1</v>
      </c>
      <c r="D12" s="4">
        <v>4500</v>
      </c>
      <c r="G12" s="3" t="s">
        <v>2708</v>
      </c>
      <c r="I12" s="3" t="s">
        <v>33</v>
      </c>
      <c r="J12" s="4" t="s">
        <v>2709</v>
      </c>
      <c r="K12" s="3" t="s">
        <v>2703</v>
      </c>
      <c r="L12" s="3" t="s">
        <v>2710</v>
      </c>
      <c r="M12" s="4">
        <v>4500</v>
      </c>
      <c r="N12" s="3" t="s">
        <v>60</v>
      </c>
      <c r="O12" s="3" t="s">
        <v>2705</v>
      </c>
      <c r="P12" s="3" t="s">
        <v>33</v>
      </c>
      <c r="Q12" s="3" t="s">
        <v>33</v>
      </c>
      <c r="S12" s="4">
        <v>42</v>
      </c>
      <c r="T12" s="3" t="s">
        <v>2703</v>
      </c>
      <c r="U12" s="3" t="s">
        <v>845</v>
      </c>
      <c r="V12" s="3" t="s">
        <v>2711</v>
      </c>
      <c r="W12" s="3" t="s">
        <v>33</v>
      </c>
      <c r="X12" s="3" t="s">
        <v>33</v>
      </c>
      <c r="Y12" s="3" t="s">
        <v>2655</v>
      </c>
      <c r="Z12" s="3" t="s">
        <v>36</v>
      </c>
      <c r="AA12" s="4">
        <v>13</v>
      </c>
      <c r="AB12" s="4">
        <v>1</v>
      </c>
      <c r="AC12" s="3" t="s">
        <v>2654</v>
      </c>
    </row>
    <row r="13" spans="1:29" x14ac:dyDescent="0.2">
      <c r="A13" s="3" t="s">
        <v>2712</v>
      </c>
      <c r="B13" s="3" t="s">
        <v>2713</v>
      </c>
      <c r="C13" s="4">
        <v>1</v>
      </c>
      <c r="D13" s="4">
        <v>3300</v>
      </c>
      <c r="G13" s="3" t="s">
        <v>2714</v>
      </c>
      <c r="I13" s="3" t="s">
        <v>2715</v>
      </c>
      <c r="J13" s="4" t="s">
        <v>2716</v>
      </c>
      <c r="K13" s="3" t="s">
        <v>2717</v>
      </c>
      <c r="L13" s="3" t="s">
        <v>2718</v>
      </c>
      <c r="M13" s="4">
        <v>3300</v>
      </c>
      <c r="N13" s="3" t="s">
        <v>67</v>
      </c>
      <c r="O13" s="3" t="s">
        <v>2719</v>
      </c>
      <c r="P13" s="3" t="s">
        <v>33</v>
      </c>
      <c r="Q13" s="3" t="s">
        <v>2720</v>
      </c>
      <c r="S13" s="4">
        <v>68</v>
      </c>
      <c r="T13" s="3" t="s">
        <v>2717</v>
      </c>
      <c r="U13" s="3" t="s">
        <v>2192</v>
      </c>
      <c r="V13" s="3" t="s">
        <v>2192</v>
      </c>
      <c r="W13" s="3" t="s">
        <v>33</v>
      </c>
      <c r="X13" s="3" t="s">
        <v>33</v>
      </c>
      <c r="Y13" s="3" t="s">
        <v>33</v>
      </c>
      <c r="Z13" s="3" t="s">
        <v>85</v>
      </c>
      <c r="AB13" s="4">
        <v>1</v>
      </c>
      <c r="AC13" s="3" t="s">
        <v>33</v>
      </c>
    </row>
    <row r="14" spans="1:29" x14ac:dyDescent="0.2">
      <c r="A14" s="3" t="s">
        <v>2721</v>
      </c>
      <c r="B14" s="3" t="s">
        <v>2722</v>
      </c>
      <c r="C14" s="4">
        <v>1</v>
      </c>
      <c r="D14" s="4">
        <v>3100</v>
      </c>
      <c r="G14" s="3" t="s">
        <v>2723</v>
      </c>
      <c r="I14" s="3" t="s">
        <v>2724</v>
      </c>
      <c r="J14" s="4" t="s">
        <v>2725</v>
      </c>
      <c r="K14" s="3" t="s">
        <v>2726</v>
      </c>
      <c r="L14" s="3" t="s">
        <v>2727</v>
      </c>
      <c r="M14" s="4">
        <v>3100</v>
      </c>
      <c r="N14" s="3" t="s">
        <v>36</v>
      </c>
      <c r="O14" s="3" t="s">
        <v>33</v>
      </c>
      <c r="P14" s="3" t="s">
        <v>33</v>
      </c>
      <c r="Q14" s="3" t="s">
        <v>2728</v>
      </c>
      <c r="S14" s="4">
        <v>68</v>
      </c>
      <c r="T14" s="3" t="s">
        <v>2726</v>
      </c>
      <c r="U14" s="3" t="s">
        <v>2192</v>
      </c>
      <c r="V14" s="3" t="s">
        <v>2192</v>
      </c>
      <c r="W14" s="3" t="s">
        <v>33</v>
      </c>
      <c r="X14" s="3" t="s">
        <v>33</v>
      </c>
      <c r="Y14" s="3" t="s">
        <v>2653</v>
      </c>
      <c r="Z14" s="3" t="s">
        <v>36</v>
      </c>
      <c r="AA14" s="4">
        <v>5</v>
      </c>
      <c r="AB14" s="4">
        <v>1</v>
      </c>
      <c r="AC14" s="3" t="s">
        <v>33</v>
      </c>
    </row>
    <row r="15" spans="1:29" x14ac:dyDescent="0.2">
      <c r="A15" s="3" t="s">
        <v>2729</v>
      </c>
      <c r="B15" s="3" t="s">
        <v>2730</v>
      </c>
      <c r="C15" s="4">
        <v>1</v>
      </c>
      <c r="D15" s="4">
        <v>3400</v>
      </c>
      <c r="G15" s="3" t="s">
        <v>2731</v>
      </c>
      <c r="I15" s="3" t="s">
        <v>2732</v>
      </c>
      <c r="J15" s="4" t="s">
        <v>2733</v>
      </c>
      <c r="K15" s="3" t="s">
        <v>2734</v>
      </c>
      <c r="L15" s="3" t="s">
        <v>2735</v>
      </c>
      <c r="M15" s="4">
        <v>3400</v>
      </c>
      <c r="N15" s="3" t="s">
        <v>511</v>
      </c>
      <c r="O15" s="3" t="s">
        <v>33</v>
      </c>
      <c r="P15" s="3" t="s">
        <v>33</v>
      </c>
      <c r="Q15" s="3" t="s">
        <v>2736</v>
      </c>
      <c r="S15" s="4">
        <v>103</v>
      </c>
      <c r="T15" s="3" t="s">
        <v>2734</v>
      </c>
      <c r="U15" s="3" t="s">
        <v>2347</v>
      </c>
      <c r="V15" s="3" t="s">
        <v>2347</v>
      </c>
      <c r="W15" s="3" t="s">
        <v>33</v>
      </c>
      <c r="X15" s="3" t="s">
        <v>33</v>
      </c>
      <c r="Y15" s="3" t="s">
        <v>33</v>
      </c>
      <c r="Z15" s="3" t="s">
        <v>36</v>
      </c>
      <c r="AB15" s="4">
        <v>1</v>
      </c>
      <c r="AC15" s="3" t="s">
        <v>2697</v>
      </c>
    </row>
    <row r="16" spans="1:29" x14ac:dyDescent="0.2">
      <c r="A16" s="3" t="s">
        <v>2738</v>
      </c>
      <c r="B16" s="3" t="s">
        <v>2739</v>
      </c>
      <c r="C16" s="4">
        <v>1</v>
      </c>
      <c r="D16" s="4">
        <v>3650</v>
      </c>
      <c r="G16" s="3" t="s">
        <v>2740</v>
      </c>
      <c r="I16" s="3" t="s">
        <v>2741</v>
      </c>
      <c r="J16" s="4" t="s">
        <v>2742</v>
      </c>
      <c r="K16" s="3" t="s">
        <v>2743</v>
      </c>
      <c r="L16" s="3" t="s">
        <v>2744</v>
      </c>
      <c r="M16" s="4">
        <v>3650</v>
      </c>
      <c r="N16" s="3" t="s">
        <v>2672</v>
      </c>
      <c r="O16" s="3" t="s">
        <v>33</v>
      </c>
      <c r="P16" s="3" t="s">
        <v>33</v>
      </c>
      <c r="Q16" s="3" t="s">
        <v>2745</v>
      </c>
      <c r="S16" s="4">
        <v>68</v>
      </c>
      <c r="T16" s="3" t="s">
        <v>2743</v>
      </c>
      <c r="U16" s="3" t="s">
        <v>2192</v>
      </c>
      <c r="V16" s="3" t="s">
        <v>2192</v>
      </c>
      <c r="W16" s="3" t="s">
        <v>33</v>
      </c>
      <c r="X16" s="3" t="s">
        <v>33</v>
      </c>
      <c r="Y16" s="3" t="s">
        <v>33</v>
      </c>
      <c r="Z16" s="3" t="s">
        <v>1947</v>
      </c>
      <c r="AB16" s="4">
        <v>1</v>
      </c>
      <c r="AC16" s="3" t="s">
        <v>33</v>
      </c>
    </row>
    <row r="17" spans="1:29" x14ac:dyDescent="0.2">
      <c r="A17" s="3" t="s">
        <v>2746</v>
      </c>
      <c r="B17" s="3" t="s">
        <v>2747</v>
      </c>
      <c r="C17" s="4">
        <v>1</v>
      </c>
      <c r="D17" s="4">
        <v>3500</v>
      </c>
      <c r="G17" s="3" t="s">
        <v>2748</v>
      </c>
      <c r="I17" s="3" t="s">
        <v>2749</v>
      </c>
      <c r="J17" s="4" t="s">
        <v>2737</v>
      </c>
      <c r="K17" s="3" t="s">
        <v>2750</v>
      </c>
      <c r="L17" s="3" t="s">
        <v>2751</v>
      </c>
      <c r="M17" s="4">
        <v>3500</v>
      </c>
      <c r="N17" s="3" t="s">
        <v>1947</v>
      </c>
      <c r="O17" s="3" t="s">
        <v>2752</v>
      </c>
      <c r="P17" s="3" t="s">
        <v>33</v>
      </c>
      <c r="Q17" s="3" t="s">
        <v>2753</v>
      </c>
      <c r="S17" s="4">
        <v>68</v>
      </c>
      <c r="T17" s="3" t="s">
        <v>2750</v>
      </c>
      <c r="U17" s="3" t="s">
        <v>2192</v>
      </c>
      <c r="V17" s="3" t="s">
        <v>2192</v>
      </c>
      <c r="W17" s="3" t="s">
        <v>33</v>
      </c>
      <c r="X17" s="3" t="s">
        <v>33</v>
      </c>
      <c r="Y17" s="3" t="s">
        <v>33</v>
      </c>
      <c r="Z17" s="3" t="s">
        <v>67</v>
      </c>
      <c r="AB17" s="4">
        <v>1</v>
      </c>
      <c r="AC17" s="3" t="s">
        <v>33</v>
      </c>
    </row>
    <row r="18" spans="1:29" x14ac:dyDescent="0.2">
      <c r="A18" s="3" t="s">
        <v>2754</v>
      </c>
      <c r="B18" s="3" t="s">
        <v>2755</v>
      </c>
      <c r="C18" s="4">
        <v>1</v>
      </c>
      <c r="D18" s="4">
        <v>4100</v>
      </c>
      <c r="G18" s="3" t="s">
        <v>2756</v>
      </c>
      <c r="I18" s="3" t="s">
        <v>2757</v>
      </c>
      <c r="J18" s="4" t="s">
        <v>2758</v>
      </c>
      <c r="K18" s="3" t="s">
        <v>2759</v>
      </c>
      <c r="L18" s="3" t="s">
        <v>2760</v>
      </c>
      <c r="M18" s="4">
        <v>4100</v>
      </c>
      <c r="N18" s="3" t="s">
        <v>36</v>
      </c>
      <c r="O18" s="3" t="s">
        <v>33</v>
      </c>
      <c r="P18" s="3" t="s">
        <v>33</v>
      </c>
      <c r="Q18" s="3" t="s">
        <v>2761</v>
      </c>
      <c r="S18" s="4">
        <v>68</v>
      </c>
      <c r="T18" s="3" t="s">
        <v>2759</v>
      </c>
      <c r="U18" s="3" t="s">
        <v>2192</v>
      </c>
      <c r="V18" s="3" t="s">
        <v>2192</v>
      </c>
      <c r="W18" s="3" t="s">
        <v>33</v>
      </c>
      <c r="X18" s="3" t="s">
        <v>33</v>
      </c>
      <c r="Y18" s="3" t="s">
        <v>33</v>
      </c>
      <c r="Z18" s="3" t="s">
        <v>36</v>
      </c>
      <c r="AB18" s="4">
        <v>1</v>
      </c>
      <c r="AC18" s="3" t="s">
        <v>2654</v>
      </c>
    </row>
    <row r="19" spans="1:29" x14ac:dyDescent="0.2">
      <c r="A19" s="3" t="s">
        <v>2762</v>
      </c>
      <c r="B19" s="3" t="s">
        <v>2763</v>
      </c>
      <c r="C19" s="4">
        <v>1</v>
      </c>
      <c r="D19" s="4">
        <v>3000</v>
      </c>
      <c r="G19" s="3" t="s">
        <v>2764</v>
      </c>
      <c r="I19" s="3" t="s">
        <v>2765</v>
      </c>
      <c r="J19" s="4" t="s">
        <v>2766</v>
      </c>
      <c r="K19" s="3" t="s">
        <v>2767</v>
      </c>
      <c r="L19" s="3" t="s">
        <v>2768</v>
      </c>
      <c r="M19" s="4">
        <v>3000</v>
      </c>
      <c r="N19" s="3" t="s">
        <v>67</v>
      </c>
      <c r="O19" s="3" t="s">
        <v>33</v>
      </c>
      <c r="P19" s="3" t="s">
        <v>33</v>
      </c>
      <c r="Q19" s="3" t="s">
        <v>2769</v>
      </c>
      <c r="S19" s="4">
        <v>60</v>
      </c>
      <c r="T19" s="3" t="s">
        <v>2767</v>
      </c>
      <c r="U19" s="3" t="s">
        <v>1503</v>
      </c>
      <c r="V19" s="3" t="s">
        <v>2698</v>
      </c>
      <c r="W19" s="3" t="s">
        <v>33</v>
      </c>
      <c r="X19" s="3" t="s">
        <v>33</v>
      </c>
      <c r="Y19" s="3" t="s">
        <v>2655</v>
      </c>
      <c r="Z19" s="3" t="s">
        <v>67</v>
      </c>
      <c r="AA19" s="4">
        <v>13</v>
      </c>
      <c r="AB19" s="4">
        <v>1</v>
      </c>
      <c r="AC19" s="3" t="s">
        <v>2697</v>
      </c>
    </row>
    <row r="20" spans="1:29" x14ac:dyDescent="0.2">
      <c r="A20" s="3" t="s">
        <v>2770</v>
      </c>
      <c r="B20" s="3" t="s">
        <v>2771</v>
      </c>
      <c r="C20" s="4">
        <v>1</v>
      </c>
      <c r="D20" s="4">
        <v>3300</v>
      </c>
      <c r="G20" s="3" t="s">
        <v>2772</v>
      </c>
      <c r="I20" s="3" t="s">
        <v>2773</v>
      </c>
      <c r="J20" s="4" t="s">
        <v>2774</v>
      </c>
      <c r="K20" s="3" t="s">
        <v>2775</v>
      </c>
      <c r="L20" s="3" t="s">
        <v>2776</v>
      </c>
      <c r="M20" s="4">
        <v>3300</v>
      </c>
      <c r="N20" s="3" t="s">
        <v>33</v>
      </c>
      <c r="O20" s="3" t="s">
        <v>33</v>
      </c>
      <c r="P20" s="3" t="s">
        <v>33</v>
      </c>
      <c r="Q20" s="3" t="s">
        <v>33</v>
      </c>
      <c r="T20" s="3" t="s">
        <v>2775</v>
      </c>
      <c r="U20" s="3" t="s">
        <v>33</v>
      </c>
      <c r="V20" s="3" t="s">
        <v>33</v>
      </c>
      <c r="W20" s="3" t="s">
        <v>33</v>
      </c>
      <c r="X20" s="3" t="s">
        <v>33</v>
      </c>
      <c r="Y20" s="3" t="s">
        <v>2655</v>
      </c>
      <c r="Z20" s="3" t="s">
        <v>85</v>
      </c>
      <c r="AA20" s="4">
        <v>13</v>
      </c>
      <c r="AB20" s="4">
        <v>1</v>
      </c>
      <c r="AC20" s="3" t="s">
        <v>1947</v>
      </c>
    </row>
    <row r="21" spans="1:29" x14ac:dyDescent="0.2">
      <c r="A21" s="3" t="s">
        <v>2777</v>
      </c>
      <c r="B21" s="3" t="s">
        <v>2778</v>
      </c>
      <c r="C21" s="4">
        <v>1</v>
      </c>
      <c r="D21" s="4">
        <v>5300</v>
      </c>
      <c r="G21" s="3" t="s">
        <v>2779</v>
      </c>
      <c r="I21" s="3" t="s">
        <v>2780</v>
      </c>
      <c r="J21" s="4" t="s">
        <v>2781</v>
      </c>
      <c r="K21" s="3" t="s">
        <v>2782</v>
      </c>
      <c r="L21" s="3" t="s">
        <v>2783</v>
      </c>
      <c r="M21" s="4">
        <v>5300</v>
      </c>
      <c r="N21" s="3" t="s">
        <v>73</v>
      </c>
      <c r="O21" s="3" t="s">
        <v>2784</v>
      </c>
      <c r="P21" s="3" t="s">
        <v>33</v>
      </c>
      <c r="Q21" s="3" t="s">
        <v>33</v>
      </c>
      <c r="S21" s="4">
        <v>11</v>
      </c>
      <c r="T21" s="3" t="s">
        <v>2782</v>
      </c>
      <c r="U21" s="3" t="s">
        <v>132</v>
      </c>
      <c r="V21" s="3" t="s">
        <v>2696</v>
      </c>
      <c r="W21" s="3" t="s">
        <v>33</v>
      </c>
      <c r="X21" s="3" t="s">
        <v>33</v>
      </c>
      <c r="Y21" s="3" t="s">
        <v>33</v>
      </c>
      <c r="Z21" s="3" t="s">
        <v>511</v>
      </c>
      <c r="AB21" s="4">
        <v>1</v>
      </c>
      <c r="AC21" s="3" t="s">
        <v>33</v>
      </c>
    </row>
  </sheetData>
  <autoFilter ref="A1:AC21" xr:uid="{52E95CFB-6F81-4B4C-B4D9-B40BC32A14A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maintenance</vt:lpstr>
      <vt:lpstr>Sheet1</vt:lpstr>
      <vt:lpstr>installation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tasnim alqadi</dc:creator>
  <cp:lastModifiedBy>Amr Hassan</cp:lastModifiedBy>
  <dcterms:created xsi:type="dcterms:W3CDTF">2025-10-15T06:52:55Z</dcterms:created>
  <dcterms:modified xsi:type="dcterms:W3CDTF">2025-10-20T11:10:11Z</dcterms:modified>
</cp:coreProperties>
</file>